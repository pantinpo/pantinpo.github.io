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</sheets>
  <definedNames>
    <definedName name="_xlnm.Print_Titles" localSheetId="1">'Scorecard'!$4:$4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yyyy-mm-dd"/>
    <numFmt numFmtId="165" formatCode="d mmm yyyy"/>
    <numFmt numFmtId="166" formatCode="d mmm"/>
    <numFmt numFmtId="167" formatCode="&quot;A$&quot;#,##0"/>
    <numFmt numFmtId="168" formatCode="+&quot;A$&quot;#,##0;-&quot;A$&quot;#,##0;&quot;A$&quot;0"/>
    <numFmt numFmtId="169" formatCode="+#,##0;-#,##0;0"/>
    <numFmt numFmtId="170" formatCode="&quot;A$&quot;#,##0.00"/>
    <numFmt numFmtId="171" formatCode="+&quot;A$&quot;#,##0.00;-&quot;A$&quot;#,##0.00;&quot;A$&quot;0.00"/>
    <numFmt numFmtId="172" formatCode="+0.00%;-0.00%;0.00%"/>
    <numFmt numFmtId="173" formatCode="0.0&quot; h&quot;"/>
    <numFmt numFmtId="174" formatCode="+0.0&quot; h&quot;;-0.0&quot; h&quot;;0.0&quot; h&quot;"/>
    <numFmt numFmtId="175" formatCode="0.0%"/>
    <numFmt numFmtId="176" formatCode="+0.0%;-0.0%;0.0%"/>
    <numFmt numFmtId="177" formatCode="0.0&quot;x&quot;"/>
    <numFmt numFmtId="178" formatCode="+0.0&quot;x&quot;;-0.0&quot;x&quot;;0.0&quot;x&quot;"/>
  </numFmts>
  <fonts count="13">
    <font>
      <name val="Calibri"/>
      <family val="2"/>
      <color theme="1"/>
      <sz val="11"/>
      <scheme val="minor"/>
    </font>
    <font>
      <b val="1"/>
      <color rgb="002F4F3E"/>
      <sz val="16"/>
    </font>
    <font>
      <b val="1"/>
    </font>
    <font>
      <i val="1"/>
      <color rgb="005F5F5F"/>
      <sz val="9"/>
    </font>
    <font>
      <b val="1"/>
      <color rgb="002F4F3E"/>
    </font>
    <font>
      <b val="1"/>
      <color rgb="00FFFFFF"/>
    </font>
    <font>
      <color rgb="00256ABF"/>
      <sz val="12"/>
    </font>
    <font>
      <b val="1"/>
      <color rgb="009C0006"/>
      <sz val="12"/>
    </font>
    <font>
      <color rgb="0075746F"/>
    </font>
    <font>
      <b val="1"/>
      <color rgb="009C5700"/>
      <sz val="12"/>
    </font>
    <font>
      <color rgb="00333333"/>
      <sz val="11"/>
    </font>
    <font>
      <b val="1"/>
      <color rgb="002F4F3E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FFF6E0"/>
        <bgColor rgb="00FFF6E0"/>
      </patternFill>
    </fill>
    <fill>
      <patternFill patternType="solid">
        <fgColor rgb="00E8EFEA"/>
        <bgColor rgb="00E8EFEA"/>
      </patternFill>
    </fill>
    <fill>
      <patternFill patternType="solid">
        <fgColor rgb="002F4F3E"/>
        <bgColor rgb="002F4F3E"/>
      </patternFill>
    </fill>
    <fill>
      <patternFill patternType="solid">
        <fgColor rgb="00F7F7F4"/>
        <bgColor rgb="00F7F7F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9D9D4"/>
      </left>
      <right style="thin">
        <color rgb="00D9D9D4"/>
      </right>
      <top style="thin">
        <color rgb="00D9D9D4"/>
      </top>
      <bottom style="thin">
        <color rgb="00D9D9D4"/>
      </bottom>
    </border>
    <border>
      <left/>
      <right/>
      <top style="thin">
        <color rgb="00D9D9D4"/>
      </top>
      <bottom/>
      <diagonal/>
    </border>
    <border>
      <left/>
      <right style="thin">
        <color rgb="00D9D9D4"/>
      </right>
      <top style="thin">
        <color rgb="00D9D9D4"/>
      </top>
      <bottom/>
      <diagonal/>
    </border>
    <border>
      <left/>
      <right/>
      <top style="thin">
        <color rgb="00D9D9D4"/>
      </top>
      <bottom style="thin">
        <color rgb="00D9D9D4"/>
      </bottom>
      <diagonal/>
    </border>
    <border>
      <left/>
      <right style="thin">
        <color rgb="00D9D9D4"/>
      </right>
      <top style="thin">
        <color rgb="00D9D9D4"/>
      </top>
      <bottom style="thin">
        <color rgb="00D9D9D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5" fontId="2" fillId="2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vertical="center"/>
    </xf>
    <xf numFmtId="9" fontId="0" fillId="5" borderId="1" applyAlignment="1" pivotButton="0" quotePrefix="0" xfId="0">
      <alignment horizontal="center" vertical="center"/>
    </xf>
    <xf numFmtId="167" fontId="2" fillId="5" borderId="1" applyAlignment="1" pivotButton="0" quotePrefix="0" xfId="0">
      <alignment vertical="center"/>
    </xf>
    <xf numFmtId="168" fontId="0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169" fontId="0" fillId="5" borderId="1" applyAlignment="1" pivotButton="0" quotePrefix="0" xfId="0">
      <alignment vertical="center"/>
    </xf>
    <xf numFmtId="170" fontId="0" fillId="5" borderId="1" applyAlignment="1" pivotButton="0" quotePrefix="0" xfId="0">
      <alignment vertical="center"/>
    </xf>
    <xf numFmtId="170" fontId="2" fillId="5" borderId="1" applyAlignment="1" pivotButton="0" quotePrefix="0" xfId="0">
      <alignment vertical="center"/>
    </xf>
    <xf numFmtId="171" fontId="0" fillId="5" borderId="1" applyAlignment="1" pivotButton="0" quotePrefix="0" xfId="0">
      <alignment vertical="center"/>
    </xf>
    <xf numFmtId="10" fontId="0" fillId="5" borderId="1" applyAlignment="1" pivotButton="0" quotePrefix="0" xfId="0">
      <alignment vertical="center"/>
    </xf>
    <xf numFmtId="10" fontId="2" fillId="5" borderId="1" applyAlignment="1" pivotButton="0" quotePrefix="0" xfId="0">
      <alignment vertical="center"/>
    </xf>
    <xf numFmtId="172" fontId="0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173" fontId="0" fillId="6" borderId="1" applyAlignment="1" pivotButton="0" quotePrefix="0" xfId="0">
      <alignment vertical="center"/>
    </xf>
    <xf numFmtId="9" fontId="0" fillId="6" borderId="1" applyAlignment="1" pivotButton="0" quotePrefix="0" xfId="0">
      <alignment horizontal="center" vertical="center"/>
    </xf>
    <xf numFmtId="173" fontId="2" fillId="6" borderId="1" applyAlignment="1" pivotButton="0" quotePrefix="0" xfId="0">
      <alignment vertical="center"/>
    </xf>
    <xf numFmtId="174" fontId="0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175" fontId="0" fillId="6" borderId="1" applyAlignment="1" pivotButton="0" quotePrefix="0" xfId="0">
      <alignment vertical="center"/>
    </xf>
    <xf numFmtId="175" fontId="2" fillId="6" borderId="1" applyAlignment="1" pivotButton="0" quotePrefix="0" xfId="0">
      <alignment vertical="center"/>
    </xf>
    <xf numFmtId="176" fontId="0" fillId="6" borderId="1" applyAlignment="1" pivotButton="0" quotePrefix="0" xfId="0">
      <alignment vertical="center"/>
    </xf>
    <xf numFmtId="175" fontId="0" fillId="5" borderId="1" applyAlignment="1" pivotButton="0" quotePrefix="0" xfId="0">
      <alignment vertical="center"/>
    </xf>
    <xf numFmtId="175" fontId="2" fillId="5" borderId="1" applyAlignment="1" pivotButton="0" quotePrefix="0" xfId="0">
      <alignment vertical="center"/>
    </xf>
    <xf numFmtId="176" fontId="0" fillId="5" borderId="1" applyAlignment="1" pivotButton="0" quotePrefix="0" xfId="0">
      <alignment vertical="center"/>
    </xf>
    <xf numFmtId="175" fontId="0" fillId="5" borderId="1" applyAlignment="1" pivotButton="0" quotePrefix="0" xfId="0">
      <alignment horizontal="center" vertical="center"/>
    </xf>
    <xf numFmtId="177" fontId="0" fillId="6" borderId="1" applyAlignment="1" pivotButton="0" quotePrefix="0" xfId="0">
      <alignment vertical="center"/>
    </xf>
    <xf numFmtId="177" fontId="2" fillId="6" borderId="1" applyAlignment="1" pivotButton="0" quotePrefix="0" xfId="0">
      <alignment vertical="center"/>
    </xf>
    <xf numFmtId="178" fontId="0" fillId="6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3" fontId="2" fillId="6" borderId="1" applyAlignment="1" pivotButton="0" quotePrefix="0" xfId="0">
      <alignment vertical="center"/>
    </xf>
    <xf numFmtId="169" fontId="0" fillId="6" borderId="1" applyAlignment="1" pivotButton="0" quotePrefix="0" xfId="0">
      <alignment vertical="center"/>
    </xf>
    <xf numFmtId="170" fontId="0" fillId="6" borderId="1" applyAlignment="1" pivotButton="0" quotePrefix="0" xfId="0">
      <alignment vertical="center"/>
    </xf>
    <xf numFmtId="170" fontId="2" fillId="6" borderId="1" applyAlignment="1" pivotButton="0" quotePrefix="0" xfId="0">
      <alignment vertical="center"/>
    </xf>
    <xf numFmtId="171" fontId="0" fillId="6" borderId="1" applyAlignment="1" pivotButton="0" quotePrefix="0" xfId="0">
      <alignment vertical="center"/>
    </xf>
    <xf numFmtId="165" fontId="0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  <xf numFmtId="0" fontId="7" fillId="0" borderId="0" pivotButton="0" quotePrefix="0" xfId="0"/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dxfs count="7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1E7B45"/>
      </font>
    </dxf>
    <dxf>
      <font>
        <color rgb="00B3261E"/>
      </font>
    </dxf>
    <dxf>
      <font>
        <b val="1"/>
        <color rgb="009C0006"/>
      </font>
    </dxf>
    <dxf>
      <font>
        <b val="1"/>
        <color rgb="009C57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Weekly KPI Scorecard  ·  Read me</t>
        </is>
      </c>
    </row>
    <row r="2">
      <c r="B2" s="2" t="inlineStr">
        <is>
          <t>One page that shows whether each team hit its numbers last week, and what's being done where it didn't.</t>
        </is>
      </c>
    </row>
    <row r="3">
      <c r="B3" s="2" t="inlineStr">
        <is>
          <t>Harbor &amp; Pine Co. is a fictional Australian home-goods store. All numbers are made up for this sample.</t>
        </is>
      </c>
    </row>
    <row r="4">
      <c r="B4" s="2" t="inlineStr"/>
    </row>
    <row r="5">
      <c r="B5" s="3" t="inlineStr">
        <is>
          <t>How to update it every Monday</t>
        </is>
      </c>
    </row>
    <row r="6">
      <c r="B6" s="4" t="inlineStr">
        <is>
          <t>1. On the Scorecard tab, change the date in C2 to the Sunday that just ended. The week headers update on their own.</t>
        </is>
      </c>
    </row>
    <row r="7">
      <c r="B7" s="4" t="inlineStr">
        <is>
          <t>2. Select I5:O20, copy, then paste values only into H5 (Ctrl+Shift+V in Google Sheets and Excel). This drops the oldest week.</t>
        </is>
      </c>
    </row>
    <row r="8">
      <c r="B8" s="4" t="inlineStr">
        <is>
          <t>3. Type last week's actuals into column O. Percentages go in as percentages, e.g. 91%.</t>
        </is>
      </c>
    </row>
    <row r="9">
      <c r="B9" s="4" t="inlineStr">
        <is>
          <t>4. Write a short comment for every KPI marked Watch or Off track: what happened and what's being done.</t>
        </is>
      </c>
    </row>
    <row r="10">
      <c r="B10" s="4" t="inlineStr">
        <is>
          <t>5. Check the Summary tab, then share the link or export it to PDF for the Monday meeting.</t>
        </is>
      </c>
    </row>
    <row r="11">
      <c r="B11" s="2" t="inlineStr"/>
    </row>
    <row r="12">
      <c r="B12" s="3" t="inlineStr">
        <is>
          <t>How status works</t>
        </is>
      </c>
    </row>
    <row r="13">
      <c r="B13" s="2" t="inlineStr">
        <is>
          <t>On track: the latest week is at target or better.</t>
        </is>
      </c>
    </row>
    <row r="14">
      <c r="B14" s="2" t="inlineStr">
        <is>
          <t>Watch: it missed target, but by no more than the tolerance in column G. Example: target 95%, tolerance 2%, so 93.1% to 94.9% is Watch.</t>
        </is>
      </c>
    </row>
    <row r="15">
      <c r="B15" s="2" t="inlineStr">
        <is>
          <t>Off track: it missed by more than the tolerance.</t>
        </is>
      </c>
    </row>
    <row r="16">
      <c r="B16" s="2" t="inlineStr">
        <is>
          <t>Column F says which way is good. Higher for revenue or CSAT, Lower for response time or costs.</t>
        </is>
      </c>
    </row>
    <row r="17">
      <c r="B17" s="2" t="inlineStr"/>
    </row>
    <row r="18">
      <c r="B18" s="3" t="inlineStr">
        <is>
          <t>Columns</t>
        </is>
      </c>
    </row>
    <row r="19">
      <c r="B19" s="2" t="inlineStr">
        <is>
          <t>Gap to target: how far the latest week is from target. Positive always means better than target, whichever way the KPI runs.</t>
        </is>
      </c>
    </row>
    <row r="20">
      <c r="B20" s="2" t="inlineStr">
        <is>
          <t>Week-on-week: change from the week before. Green if it moved the right way, red if it didn't.</t>
        </is>
      </c>
    </row>
    <row r="21">
      <c r="B21" s="2" t="inlineStr">
        <is>
          <t>8-week trend: a mini bar chart made with a formula. The tallest bar is the highest week, the shortest is the lowest.</t>
        </is>
      </c>
    </row>
    <row r="22">
      <c r="B22" s="2" t="inlineStr">
        <is>
          <t>Hidden columns V and W number the Off track and Watch rows so the Summary tab can list them. Leave them in place.</t>
        </is>
      </c>
    </row>
    <row r="23">
      <c r="B23" s="2" t="inlineStr"/>
    </row>
    <row r="24">
      <c r="B24" s="3" t="inlineStr">
        <is>
          <t>Adding or changing a KPI</t>
        </is>
      </c>
    </row>
    <row r="25">
      <c r="B25" s="2" t="inlineStr">
        <is>
          <t>Insert a new row inside the table (between rows 5 and 20) so the formulas and ranges stretch to include it. Copy the formulas in P to W from the row above.</t>
        </is>
      </c>
    </row>
    <row r="26">
      <c r="B26" s="2" t="inlineStr">
        <is>
          <t>Set the number format of the new row to match its unit (A$, %, hours).</t>
        </is>
      </c>
    </row>
    <row r="27">
      <c r="B27" s="2" t="inlineStr"/>
    </row>
    <row r="28">
      <c r="B28" s="3" t="inlineStr">
        <is>
          <t>Opening it in Google Sheets</t>
        </is>
      </c>
    </row>
    <row r="29">
      <c r="B29" s="2" t="inlineStr">
        <is>
          <t>Upload the file to Drive, then open it with Google Sheets, or use File &gt; Import &gt; Upload in a new sheet. The formulas and colours carry over.</t>
        </is>
      </c>
    </row>
    <row r="30">
      <c r="B30" s="2" t="inlineStr">
        <is>
          <t>It uses standard functions only (IF, COUNTIF, COUNTIFS, INDEX, MATCH, MID, ROUND), so it works the same in Excel and Google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7" customWidth="1" min="4" max="4"/>
    <col width="11" customWidth="1" min="5" max="5"/>
    <col width="9" customWidth="1" min="6" max="6"/>
    <col width="10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1" customWidth="1" min="16" max="16"/>
    <col width="13" customWidth="1" min="17" max="17"/>
    <col width="11" customWidth="1" min="18" max="18"/>
    <col width="13" customWidth="1" min="19" max="19"/>
    <col width="15" customWidth="1" min="20" max="20"/>
    <col width="48" customWidth="1" min="21" max="21"/>
    <col hidden="1" width="10" customWidth="1" min="22" max="22"/>
    <col hidden="1" width="10" customWidth="1" min="23" max="23"/>
  </cols>
  <sheetData>
    <row r="1">
      <c r="A1" s="5" t="inlineStr">
        <is>
          <t>Harbor &amp; Pine Co.  ·  Weekly KPI Scorecard</t>
        </is>
      </c>
    </row>
    <row r="2">
      <c r="A2" s="6" t="inlineStr">
        <is>
          <t>Week ending (Sunday)</t>
        </is>
      </c>
      <c r="C2" s="7" t="n">
        <v>46292</v>
      </c>
      <c r="E2" s="8" t="inlineStr">
        <is>
          <t>Change the date in C2 each week. See the Read me tab for the update steps.</t>
        </is>
      </c>
    </row>
    <row r="3">
      <c r="H3" s="9" t="inlineStr">
        <is>
          <t>Weekly actuals</t>
        </is>
      </c>
      <c r="P3" s="9" t="inlineStr">
        <is>
          <t>Latest week</t>
        </is>
      </c>
    </row>
    <row r="4" ht="32" customHeight="1">
      <c r="A4" s="10" t="inlineStr">
        <is>
          <t>Function</t>
        </is>
      </c>
      <c r="B4" s="10" t="inlineStr">
        <is>
          <t>KPI</t>
        </is>
      </c>
      <c r="C4" s="10" t="inlineStr">
        <is>
          <t>Owner</t>
        </is>
      </c>
      <c r="D4" s="10" t="inlineStr">
        <is>
          <t>Unit</t>
        </is>
      </c>
      <c r="E4" s="10" t="inlineStr">
        <is>
          <t>Target</t>
        </is>
      </c>
      <c r="F4" s="10" t="inlineStr">
        <is>
          <t>Better if</t>
        </is>
      </c>
      <c r="G4" s="10" t="inlineStr">
        <is>
          <t>Tolerance</t>
        </is>
      </c>
      <c r="H4" s="11">
        <f>$C$2-49</f>
        <v/>
      </c>
      <c r="I4" s="11">
        <f>$C$2-42</f>
        <v/>
      </c>
      <c r="J4" s="11">
        <f>$C$2-35</f>
        <v/>
      </c>
      <c r="K4" s="11">
        <f>$C$2-28</f>
        <v/>
      </c>
      <c r="L4" s="11">
        <f>$C$2-21</f>
        <v/>
      </c>
      <c r="M4" s="11">
        <f>$C$2-14</f>
        <v/>
      </c>
      <c r="N4" s="11">
        <f>$C$2-7</f>
        <v/>
      </c>
      <c r="O4" s="11">
        <f>$C$2</f>
        <v/>
      </c>
      <c r="P4" s="10" t="inlineStr">
        <is>
          <t>Latest</t>
        </is>
      </c>
      <c r="Q4" s="10" t="inlineStr">
        <is>
          <t>Gap to target</t>
        </is>
      </c>
      <c r="R4" s="10" t="inlineStr">
        <is>
          <t>Status</t>
        </is>
      </c>
      <c r="S4" s="10" t="inlineStr">
        <is>
          <t>Week-on-week</t>
        </is>
      </c>
      <c r="T4" s="10" t="inlineStr">
        <is>
          <t>8-week trend</t>
        </is>
      </c>
      <c r="U4" s="10" t="inlineStr">
        <is>
          <t>Comments</t>
        </is>
      </c>
      <c r="V4" s="10" t="inlineStr">
        <is>
          <t>Off track #</t>
        </is>
      </c>
      <c r="W4" s="10" t="inlineStr">
        <is>
          <t>Watch #</t>
        </is>
      </c>
    </row>
    <row r="5" ht="30" customHeight="1">
      <c r="A5" s="12" t="inlineStr">
        <is>
          <t>Sales</t>
        </is>
      </c>
      <c r="B5" s="13" t="inlineStr">
        <is>
          <t>Revenue</t>
        </is>
      </c>
      <c r="C5" s="13" t="inlineStr">
        <is>
          <t>Ecommerce Manager</t>
        </is>
      </c>
      <c r="D5" s="14" t="inlineStr">
        <is>
          <t>A$</t>
        </is>
      </c>
      <c r="E5" s="15" t="n">
        <v>330000</v>
      </c>
      <c r="F5" s="14" t="inlineStr">
        <is>
          <t>Higher</t>
        </is>
      </c>
      <c r="G5" s="16" t="n">
        <v>0.05</v>
      </c>
      <c r="H5" s="15" t="n">
        <v>312400</v>
      </c>
      <c r="I5" s="15" t="n">
        <v>318900</v>
      </c>
      <c r="J5" s="15" t="n">
        <v>305200</v>
      </c>
      <c r="K5" s="15" t="n">
        <v>321700</v>
      </c>
      <c r="L5" s="15" t="n">
        <v>334800</v>
      </c>
      <c r="M5" s="15" t="n">
        <v>328100</v>
      </c>
      <c r="N5" s="15" t="n">
        <v>341900</v>
      </c>
      <c r="O5" s="15" t="n">
        <v>329300</v>
      </c>
      <c r="P5" s="17">
        <f>O5</f>
        <v/>
      </c>
      <c r="Q5" s="18">
        <f>IF(P5="","",IF(F5="Higher",P5-E5,E5-P5))</f>
        <v/>
      </c>
      <c r="R5" s="14">
        <f>IF(P5="","",IF(F5="Higher",IF(P5&gt;=E5,"On track",IF(P5&gt;=E5*(1-G5),"Watch","Off track")),IF(P5&lt;=E5,"On track",IF(P5&lt;=E5*(1+G5),"Watch","Off track"))))</f>
        <v/>
      </c>
      <c r="S5" s="18">
        <f>IF(OR(N5="",O5=""),"",O5-N5)</f>
        <v/>
      </c>
      <c r="T5" s="19">
        <f>MID("▁▂▃▄▅▆▇█",IFERROR(1+ROUND(7*(H5-MIN($H5:$O5))/(MAX($H5:$O5)-MIN($H5:$O5)),0),4),1)&amp;MID("▁▂▃▄▅▆▇█",IFERROR(1+ROUND(7*(I5-MIN($H5:$O5))/(MAX($H5:$O5)-MIN($H5:$O5)),0),4),1)&amp;MID("▁▂▃▄▅▆▇█",IFERROR(1+ROUND(7*(J5-MIN($H5:$O5))/(MAX($H5:$O5)-MIN($H5:$O5)),0),4),1)&amp;MID("▁▂▃▄▅▆▇█",IFERROR(1+ROUND(7*(K5-MIN($H5:$O5))/(MAX($H5:$O5)-MIN($H5:$O5)),0),4),1)&amp;MID("▁▂▃▄▅▆▇█",IFERROR(1+ROUND(7*(L5-MIN($H5:$O5))/(MAX($H5:$O5)-MIN($H5:$O5)),0),4),1)&amp;MID("▁▂▃▄▅▆▇█",IFERROR(1+ROUND(7*(M5-MIN($H5:$O5))/(MAX($H5:$O5)-MIN($H5:$O5)),0),4),1)&amp;MID("▁▂▃▄▅▆▇█",IFERROR(1+ROUND(7*(N5-MIN($H5:$O5))/(MAX($H5:$O5)-MIN($H5:$O5)),0),4),1)&amp;MID("▁▂▃▄▅▆▇█",IFERROR(1+ROUND(7*(O5-MIN($H5:$O5))/(MAX($H5:$O5)-MIN($H5:$O5)),0),4),1)</f>
        <v/>
      </c>
      <c r="U5" s="20" t="inlineStr">
        <is>
          <t>Just under target after a strong prior week.</t>
        </is>
      </c>
      <c r="V5">
        <f>IF(R5="Off track",COUNTIF(R$5:R5,"Off track"),"")</f>
        <v/>
      </c>
      <c r="W5">
        <f>IF(R5="Watch",COUNTIF(R$5:R5,"Watch"),"")</f>
        <v/>
      </c>
    </row>
    <row r="6" ht="30" customHeight="1">
      <c r="A6" s="12" t="inlineStr">
        <is>
          <t>Sales</t>
        </is>
      </c>
      <c r="B6" s="13" t="inlineStr">
        <is>
          <t>Orders</t>
        </is>
      </c>
      <c r="C6" s="13" t="inlineStr">
        <is>
          <t>Ecommerce Manager</t>
        </is>
      </c>
      <c r="D6" s="14" t="inlineStr">
        <is>
          <t>#</t>
        </is>
      </c>
      <c r="E6" s="21" t="n">
        <v>3300</v>
      </c>
      <c r="F6" s="14" t="inlineStr">
        <is>
          <t>Higher</t>
        </is>
      </c>
      <c r="G6" s="16" t="n">
        <v>0.05</v>
      </c>
      <c r="H6" s="21" t="n">
        <v>3190</v>
      </c>
      <c r="I6" s="21" t="n">
        <v>3240</v>
      </c>
      <c r="J6" s="21" t="n">
        <v>3105</v>
      </c>
      <c r="K6" s="21" t="n">
        <v>3230</v>
      </c>
      <c r="L6" s="21" t="n">
        <v>3390</v>
      </c>
      <c r="M6" s="21" t="n">
        <v>3310</v>
      </c>
      <c r="N6" s="21" t="n">
        <v>3480</v>
      </c>
      <c r="O6" s="21" t="n">
        <v>3412</v>
      </c>
      <c r="P6" s="22">
        <f>O6</f>
        <v/>
      </c>
      <c r="Q6" s="23">
        <f>IF(P6="","",IF(F6="Higher",P6-E6,E6-P6))</f>
        <v/>
      </c>
      <c r="R6" s="14">
        <f>IF(P6="","",IF(F6="Higher",IF(P6&gt;=E6,"On track",IF(P6&gt;=E6*(1-G6),"Watch","Off track")),IF(P6&lt;=E6,"On track",IF(P6&lt;=E6*(1+G6),"Watch","Off track"))))</f>
        <v/>
      </c>
      <c r="S6" s="23">
        <f>IF(OR(N6="",O6=""),"",O6-N6)</f>
        <v/>
      </c>
      <c r="T6" s="19">
        <f>MID("▁▂▃▄▅▆▇█",IFERROR(1+ROUND(7*(H6-MIN($H6:$O6))/(MAX($H6:$O6)-MIN($H6:$O6)),0),4),1)&amp;MID("▁▂▃▄▅▆▇█",IFERROR(1+ROUND(7*(I6-MIN($H6:$O6))/(MAX($H6:$O6)-MIN($H6:$O6)),0),4),1)&amp;MID("▁▂▃▄▅▆▇█",IFERROR(1+ROUND(7*(J6-MIN($H6:$O6))/(MAX($H6:$O6)-MIN($H6:$O6)),0),4),1)&amp;MID("▁▂▃▄▅▆▇█",IFERROR(1+ROUND(7*(K6-MIN($H6:$O6))/(MAX($H6:$O6)-MIN($H6:$O6)),0),4),1)&amp;MID("▁▂▃▄▅▆▇█",IFERROR(1+ROUND(7*(L6-MIN($H6:$O6))/(MAX($H6:$O6)-MIN($H6:$O6)),0),4),1)&amp;MID("▁▂▃▄▅▆▇█",IFERROR(1+ROUND(7*(M6-MIN($H6:$O6))/(MAX($H6:$O6)-MIN($H6:$O6)),0),4),1)&amp;MID("▁▂▃▄▅▆▇█",IFERROR(1+ROUND(7*(N6-MIN($H6:$O6))/(MAX($H6:$O6)-MIN($H6:$O6)),0),4),1)&amp;MID("▁▂▃▄▅▆▇█",IFERROR(1+ROUND(7*(O6-MIN($H6:$O6))/(MAX($H6:$O6)-MIN($H6:$O6)),0),4),1)</f>
        <v/>
      </c>
      <c r="U6" s="20" t="inlineStr"/>
      <c r="V6">
        <f>IF(R6="Off track",COUNTIF(R$5:R6,"Off track"),"")</f>
        <v/>
      </c>
      <c r="W6">
        <f>IF(R6="Watch",COUNTIF(R$5:R6,"Watch"),"")</f>
        <v/>
      </c>
    </row>
    <row r="7" ht="30" customHeight="1">
      <c r="A7" s="12" t="inlineStr">
        <is>
          <t>Sales</t>
        </is>
      </c>
      <c r="B7" s="13" t="inlineStr">
        <is>
          <t>Average order value</t>
        </is>
      </c>
      <c r="C7" s="13" t="inlineStr">
        <is>
          <t>Ecommerce Manager</t>
        </is>
      </c>
      <c r="D7" s="14" t="inlineStr">
        <is>
          <t>A$</t>
        </is>
      </c>
      <c r="E7" s="24" t="n">
        <v>100</v>
      </c>
      <c r="F7" s="14" t="inlineStr">
        <is>
          <t>Higher</t>
        </is>
      </c>
      <c r="G7" s="16" t="n">
        <v>0.05</v>
      </c>
      <c r="H7" s="24" t="n">
        <v>97.93000000000001</v>
      </c>
      <c r="I7" s="24" t="n">
        <v>98.43000000000001</v>
      </c>
      <c r="J7" s="24" t="n">
        <v>98.29000000000001</v>
      </c>
      <c r="K7" s="24" t="n">
        <v>99.59999999999999</v>
      </c>
      <c r="L7" s="24" t="n">
        <v>98.76000000000001</v>
      </c>
      <c r="M7" s="24" t="n">
        <v>99.12</v>
      </c>
      <c r="N7" s="24" t="n">
        <v>98.25</v>
      </c>
      <c r="O7" s="24" t="n">
        <v>96.51000000000001</v>
      </c>
      <c r="P7" s="25">
        <f>O7</f>
        <v/>
      </c>
      <c r="Q7" s="26">
        <f>IF(P7="","",IF(F7="Higher",P7-E7,E7-P7))</f>
        <v/>
      </c>
      <c r="R7" s="14">
        <f>IF(P7="","",IF(F7="Higher",IF(P7&gt;=E7,"On track",IF(P7&gt;=E7*(1-G7),"Watch","Off track")),IF(P7&lt;=E7,"On track",IF(P7&lt;=E7*(1+G7),"Watch","Off track"))))</f>
        <v/>
      </c>
      <c r="S7" s="26">
        <f>IF(OR(N7="",O7=""),"",O7-N7)</f>
        <v/>
      </c>
      <c r="T7" s="19">
        <f>MID("▁▂▃▄▅▆▇█",IFERROR(1+ROUND(7*(H7-MIN($H7:$O7))/(MAX($H7:$O7)-MIN($H7:$O7)),0),4),1)&amp;MID("▁▂▃▄▅▆▇█",IFERROR(1+ROUND(7*(I7-MIN($H7:$O7))/(MAX($H7:$O7)-MIN($H7:$O7)),0),4),1)&amp;MID("▁▂▃▄▅▆▇█",IFERROR(1+ROUND(7*(J7-MIN($H7:$O7))/(MAX($H7:$O7)-MIN($H7:$O7)),0),4),1)&amp;MID("▁▂▃▄▅▆▇█",IFERROR(1+ROUND(7*(K7-MIN($H7:$O7))/(MAX($H7:$O7)-MIN($H7:$O7)),0),4),1)&amp;MID("▁▂▃▄▅▆▇█",IFERROR(1+ROUND(7*(L7-MIN($H7:$O7))/(MAX($H7:$O7)-MIN($H7:$O7)),0),4),1)&amp;MID("▁▂▃▄▅▆▇█",IFERROR(1+ROUND(7*(M7-MIN($H7:$O7))/(MAX($H7:$O7)-MIN($H7:$O7)),0),4),1)&amp;MID("▁▂▃▄▅▆▇█",IFERROR(1+ROUND(7*(N7-MIN($H7:$O7))/(MAX($H7:$O7)-MIN($H7:$O7)),0),4),1)&amp;MID("▁▂▃▄▅▆▇█",IFERROR(1+ROUND(7*(O7-MIN($H7:$O7))/(MAX($H7:$O7)-MIN($H7:$O7)),0),4),1)</f>
        <v/>
      </c>
      <c r="U7" s="20" t="inlineStr">
        <is>
          <t>Fewer bundle orders since the throw sale ended. Checking by collection.</t>
        </is>
      </c>
      <c r="V7">
        <f>IF(R7="Off track",COUNTIF(R$5:R7,"Off track"),"")</f>
        <v/>
      </c>
      <c r="W7">
        <f>IF(R7="Watch",COUNTIF(R$5:R7,"Watch"),"")</f>
        <v/>
      </c>
    </row>
    <row r="8" ht="30" customHeight="1">
      <c r="A8" s="12" t="inlineStr">
        <is>
          <t>Sales</t>
        </is>
      </c>
      <c r="B8" s="13" t="inlineStr">
        <is>
          <t>Conversion rate</t>
        </is>
      </c>
      <c r="C8" s="13" t="inlineStr">
        <is>
          <t>Ecommerce Manager</t>
        </is>
      </c>
      <c r="D8" s="14" t="inlineStr">
        <is>
          <t>%</t>
        </is>
      </c>
      <c r="E8" s="27" t="n">
        <v>0.024</v>
      </c>
      <c r="F8" s="14" t="inlineStr">
        <is>
          <t>Higher</t>
        </is>
      </c>
      <c r="G8" s="16" t="n">
        <v>0.05</v>
      </c>
      <c r="H8" s="27" t="n">
        <v>0.0231</v>
      </c>
      <c r="I8" s="27" t="n">
        <v>0.0238</v>
      </c>
      <c r="J8" s="27" t="n">
        <v>0.0229</v>
      </c>
      <c r="K8" s="27" t="n">
        <v>0.0241</v>
      </c>
      <c r="L8" s="27" t="n">
        <v>0.0252</v>
      </c>
      <c r="M8" s="27" t="n">
        <v>0.0244</v>
      </c>
      <c r="N8" s="27" t="n">
        <v>0.0249</v>
      </c>
      <c r="O8" s="27" t="n">
        <v>0.0246</v>
      </c>
      <c r="P8" s="28">
        <f>O8</f>
        <v/>
      </c>
      <c r="Q8" s="29">
        <f>IF(P8="","",IF(F8="Higher",P8-E8,E8-P8))</f>
        <v/>
      </c>
      <c r="R8" s="14">
        <f>IF(P8="","",IF(F8="Higher",IF(P8&gt;=E8,"On track",IF(P8&gt;=E8*(1-G8),"Watch","Off track")),IF(P8&lt;=E8,"On track",IF(P8&lt;=E8*(1+G8),"Watch","Off track"))))</f>
        <v/>
      </c>
      <c r="S8" s="29">
        <f>IF(OR(N8="",O8=""),"",O8-N8)</f>
        <v/>
      </c>
      <c r="T8" s="19">
        <f>MID("▁▂▃▄▅▆▇█",IFERROR(1+ROUND(7*(H8-MIN($H8:$O8))/(MAX($H8:$O8)-MIN($H8:$O8)),0),4),1)&amp;MID("▁▂▃▄▅▆▇█",IFERROR(1+ROUND(7*(I8-MIN($H8:$O8))/(MAX($H8:$O8)-MIN($H8:$O8)),0),4),1)&amp;MID("▁▂▃▄▅▆▇█",IFERROR(1+ROUND(7*(J8-MIN($H8:$O8))/(MAX($H8:$O8)-MIN($H8:$O8)),0),4),1)&amp;MID("▁▂▃▄▅▆▇█",IFERROR(1+ROUND(7*(K8-MIN($H8:$O8))/(MAX($H8:$O8)-MIN($H8:$O8)),0),4),1)&amp;MID("▁▂▃▄▅▆▇█",IFERROR(1+ROUND(7*(L8-MIN($H8:$O8))/(MAX($H8:$O8)-MIN($H8:$O8)),0),4),1)&amp;MID("▁▂▃▄▅▆▇█",IFERROR(1+ROUND(7*(M8-MIN($H8:$O8))/(MAX($H8:$O8)-MIN($H8:$O8)),0),4),1)&amp;MID("▁▂▃▄▅▆▇█",IFERROR(1+ROUND(7*(N8-MIN($H8:$O8))/(MAX($H8:$O8)-MIN($H8:$O8)),0),4),1)&amp;MID("▁▂▃▄▅▆▇█",IFERROR(1+ROUND(7*(O8-MIN($H8:$O8))/(MAX($H8:$O8)-MIN($H8:$O8)),0),4),1)</f>
        <v/>
      </c>
      <c r="U8" s="20" t="inlineStr"/>
      <c r="V8">
        <f>IF(R8="Off track",COUNTIF(R$5:R8,"Off track"),"")</f>
        <v/>
      </c>
      <c r="W8">
        <f>IF(R8="Watch",COUNTIF(R$5:R8,"Watch"),"")</f>
        <v/>
      </c>
    </row>
    <row r="9" ht="30" customHeight="1">
      <c r="A9" s="30" t="inlineStr">
        <is>
          <t>Customer care</t>
        </is>
      </c>
      <c r="B9" s="31" t="inlineStr">
        <is>
          <t>Email first response</t>
        </is>
      </c>
      <c r="C9" s="31" t="inlineStr">
        <is>
          <t>Care Team Lead</t>
        </is>
      </c>
      <c r="D9" s="32" t="inlineStr">
        <is>
          <t>hrs</t>
        </is>
      </c>
      <c r="E9" s="33" t="n">
        <v>4</v>
      </c>
      <c r="F9" s="32" t="inlineStr">
        <is>
          <t>Lower</t>
        </is>
      </c>
      <c r="G9" s="34" t="n">
        <v>0.1</v>
      </c>
      <c r="H9" s="33" t="n">
        <v>3.6</v>
      </c>
      <c r="I9" s="33" t="n">
        <v>3.4</v>
      </c>
      <c r="J9" s="33" t="n">
        <v>3.9</v>
      </c>
      <c r="K9" s="33" t="n">
        <v>3.7</v>
      </c>
      <c r="L9" s="33" t="n">
        <v>4.2</v>
      </c>
      <c r="M9" s="33" t="n">
        <v>3.8</v>
      </c>
      <c r="N9" s="33" t="n">
        <v>4.6</v>
      </c>
      <c r="O9" s="33" t="n">
        <v>5.3</v>
      </c>
      <c r="P9" s="35">
        <f>O9</f>
        <v/>
      </c>
      <c r="Q9" s="36">
        <f>IF(P9="","",IF(F9="Higher",P9-E9,E9-P9))</f>
        <v/>
      </c>
      <c r="R9" s="32">
        <f>IF(P9="","",IF(F9="Higher",IF(P9&gt;=E9,"On track",IF(P9&gt;=E9*(1-G9),"Watch","Off track")),IF(P9&lt;=E9,"On track",IF(P9&lt;=E9*(1+G9),"Watch","Off track"))))</f>
        <v/>
      </c>
      <c r="S9" s="36">
        <f>IF(OR(N9="",O9=""),"",O9-N9)</f>
        <v/>
      </c>
      <c r="T9" s="37">
        <f>MID("▁▂▃▄▅▆▇█",IFERROR(1+ROUND(7*(H9-MIN($H9:$O9))/(MAX($H9:$O9)-MIN($H9:$O9)),0),4),1)&amp;MID("▁▂▃▄▅▆▇█",IFERROR(1+ROUND(7*(I9-MIN($H9:$O9))/(MAX($H9:$O9)-MIN($H9:$O9)),0),4),1)&amp;MID("▁▂▃▄▅▆▇█",IFERROR(1+ROUND(7*(J9-MIN($H9:$O9))/(MAX($H9:$O9)-MIN($H9:$O9)),0),4),1)&amp;MID("▁▂▃▄▅▆▇█",IFERROR(1+ROUND(7*(K9-MIN($H9:$O9))/(MAX($H9:$O9)-MIN($H9:$O9)),0),4),1)&amp;MID("▁▂▃▄▅▆▇█",IFERROR(1+ROUND(7*(L9-MIN($H9:$O9))/(MAX($H9:$O9)-MIN($H9:$O9)),0),4),1)&amp;MID("▁▂▃▄▅▆▇█",IFERROR(1+ROUND(7*(M9-MIN($H9:$O9))/(MAX($H9:$O9)-MIN($H9:$O9)),0),4),1)&amp;MID("▁▂▃▄▅▆▇█",IFERROR(1+ROUND(7*(N9-MIN($H9:$O9))/(MAX($H9:$O9)-MIN($H9:$O9)),0),4),1)&amp;MID("▁▂▃▄▅▆▇█",IFERROR(1+ROUND(7*(O9-MIN($H9:$O9))/(MAX($H9:$O9)-MIN($H9:$O9)),0),4),1)</f>
        <v/>
      </c>
      <c r="U9" s="38" t="inlineStr">
        <is>
          <t>Two agents on leave. One Manila agent moved from chat to email for 2 weeks.</t>
        </is>
      </c>
      <c r="V9">
        <f>IF(R9="Off track",COUNTIF(R$5:R9,"Off track"),"")</f>
        <v/>
      </c>
      <c r="W9">
        <f>IF(R9="Watch",COUNTIF(R$5:R9,"Watch"),"")</f>
        <v/>
      </c>
    </row>
    <row r="10" ht="30" customHeight="1">
      <c r="A10" s="30" t="inlineStr">
        <is>
          <t>Customer care</t>
        </is>
      </c>
      <c r="B10" s="31" t="inlineStr">
        <is>
          <t>CSAT</t>
        </is>
      </c>
      <c r="C10" s="31" t="inlineStr">
        <is>
          <t>Care Team Lead</t>
        </is>
      </c>
      <c r="D10" s="32" t="inlineStr">
        <is>
          <t>%</t>
        </is>
      </c>
      <c r="E10" s="39" t="n">
        <v>0.9</v>
      </c>
      <c r="F10" s="32" t="inlineStr">
        <is>
          <t>Higher</t>
        </is>
      </c>
      <c r="G10" s="34" t="n">
        <v>0.03</v>
      </c>
      <c r="H10" s="39" t="n">
        <v>0.912</v>
      </c>
      <c r="I10" s="39" t="n">
        <v>0.908</v>
      </c>
      <c r="J10" s="39" t="n">
        <v>0.921</v>
      </c>
      <c r="K10" s="39" t="n">
        <v>0.904</v>
      </c>
      <c r="L10" s="39" t="n">
        <v>0.897</v>
      </c>
      <c r="M10" s="39" t="n">
        <v>0.909</v>
      </c>
      <c r="N10" s="39" t="n">
        <v>0.886</v>
      </c>
      <c r="O10" s="39" t="n">
        <v>0.879</v>
      </c>
      <c r="P10" s="40">
        <f>O10</f>
        <v/>
      </c>
      <c r="Q10" s="41">
        <f>IF(P10="","",IF(F10="Higher",P10-E10,E10-P10))</f>
        <v/>
      </c>
      <c r="R10" s="32">
        <f>IF(P10="","",IF(F10="Higher",IF(P10&gt;=E10,"On track",IF(P10&gt;=E10*(1-G10),"Watch","Off track")),IF(P10&lt;=E10,"On track",IF(P10&lt;=E10*(1+G10),"Watch","Off track"))))</f>
        <v/>
      </c>
      <c r="S10" s="41">
        <f>IF(OR(N10="",O10=""),"",O10-N10)</f>
        <v/>
      </c>
      <c r="T10" s="37">
        <f>MID("▁▂▃▄▅▆▇█",IFERROR(1+ROUND(7*(H10-MIN($H10:$O10))/(MAX($H10:$O10)-MIN($H10:$O10)),0),4),1)&amp;MID("▁▂▃▄▅▆▇█",IFERROR(1+ROUND(7*(I10-MIN($H10:$O10))/(MAX($H10:$O10)-MIN($H10:$O10)),0),4),1)&amp;MID("▁▂▃▄▅▆▇█",IFERROR(1+ROUND(7*(J10-MIN($H10:$O10))/(MAX($H10:$O10)-MIN($H10:$O10)),0),4),1)&amp;MID("▁▂▃▄▅▆▇█",IFERROR(1+ROUND(7*(K10-MIN($H10:$O10))/(MAX($H10:$O10)-MIN($H10:$O10)),0),4),1)&amp;MID("▁▂▃▄▅▆▇█",IFERROR(1+ROUND(7*(L10-MIN($H10:$O10))/(MAX($H10:$O10)-MIN($H10:$O10)),0),4),1)&amp;MID("▁▂▃▄▅▆▇█",IFERROR(1+ROUND(7*(M10-MIN($H10:$O10))/(MAX($H10:$O10)-MIN($H10:$O10)),0),4),1)&amp;MID("▁▂▃▄▅▆▇█",IFERROR(1+ROUND(7*(N10-MIN($H10:$O10))/(MAX($H10:$O10)-MIN($H10:$O10)),0),4),1)&amp;MID("▁▂▃▄▅▆▇█",IFERROR(1+ROUND(7*(O10-MIN($H10:$O10))/(MAX($H10:$O10)-MIN($H10:$O10)),0),4),1)</f>
        <v/>
      </c>
      <c r="U10" s="38" t="inlineStr">
        <is>
          <t>Low scores mention slow email replies.</t>
        </is>
      </c>
      <c r="V10">
        <f>IF(R10="Off track",COUNTIF(R$5:R10,"Off track"),"")</f>
        <v/>
      </c>
      <c r="W10">
        <f>IF(R10="Watch",COUNTIF(R$5:R10,"Watch"),"")</f>
        <v/>
      </c>
    </row>
    <row r="11" ht="30" customHeight="1">
      <c r="A11" s="30" t="inlineStr">
        <is>
          <t>Customer care</t>
        </is>
      </c>
      <c r="B11" s="31" t="inlineStr">
        <is>
          <t>Contact rate (tickets per order)</t>
        </is>
      </c>
      <c r="C11" s="31" t="inlineStr">
        <is>
          <t>Care Team Lead</t>
        </is>
      </c>
      <c r="D11" s="32" t="inlineStr">
        <is>
          <t>%</t>
        </is>
      </c>
      <c r="E11" s="39" t="n">
        <v>0.12</v>
      </c>
      <c r="F11" s="32" t="inlineStr">
        <is>
          <t>Lower</t>
        </is>
      </c>
      <c r="G11" s="34" t="n">
        <v>0.05</v>
      </c>
      <c r="H11" s="39" t="n">
        <v>0.114</v>
      </c>
      <c r="I11" s="39" t="n">
        <v>0.111</v>
      </c>
      <c r="J11" s="39" t="n">
        <v>0.119</v>
      </c>
      <c r="K11" s="39" t="n">
        <v>0.116</v>
      </c>
      <c r="L11" s="39" t="n">
        <v>0.123</v>
      </c>
      <c r="M11" s="39" t="n">
        <v>0.118</v>
      </c>
      <c r="N11" s="39" t="n">
        <v>0.129</v>
      </c>
      <c r="O11" s="39" t="n">
        <v>0.134</v>
      </c>
      <c r="P11" s="40">
        <f>O11</f>
        <v/>
      </c>
      <c r="Q11" s="41">
        <f>IF(P11="","",IF(F11="Higher",P11-E11,E11-P11))</f>
        <v/>
      </c>
      <c r="R11" s="32">
        <f>IF(P11="","",IF(F11="Higher",IF(P11&gt;=E11,"On track",IF(P11&gt;=E11*(1-G11),"Watch","Off track")),IF(P11&lt;=E11,"On track",IF(P11&lt;=E11*(1+G11),"Watch","Off track"))))</f>
        <v/>
      </c>
      <c r="S11" s="41">
        <f>IF(OR(N11="",O11=""),"",O11-N11)</f>
        <v/>
      </c>
      <c r="T11" s="37">
        <f>MID("▁▂▃▄▅▆▇█",IFERROR(1+ROUND(7*(H11-MIN($H11:$O11))/(MAX($H11:$O11)-MIN($H11:$O11)),0),4),1)&amp;MID("▁▂▃▄▅▆▇█",IFERROR(1+ROUND(7*(I11-MIN($H11:$O11))/(MAX($H11:$O11)-MIN($H11:$O11)),0),4),1)&amp;MID("▁▂▃▄▅▆▇█",IFERROR(1+ROUND(7*(J11-MIN($H11:$O11))/(MAX($H11:$O11)-MIN($H11:$O11)),0),4),1)&amp;MID("▁▂▃▄▅▆▇█",IFERROR(1+ROUND(7*(K11-MIN($H11:$O11))/(MAX($H11:$O11)-MIN($H11:$O11)),0),4),1)&amp;MID("▁▂▃▄▅▆▇█",IFERROR(1+ROUND(7*(L11-MIN($H11:$O11))/(MAX($H11:$O11)-MIN($H11:$O11)),0),4),1)&amp;MID("▁▂▃▄▅▆▇█",IFERROR(1+ROUND(7*(M11-MIN($H11:$O11))/(MAX($H11:$O11)-MIN($H11:$O11)),0),4),1)&amp;MID("▁▂▃▄▅▆▇█",IFERROR(1+ROUND(7*(N11-MIN($H11:$O11))/(MAX($H11:$O11)-MIN($H11:$O11)),0),4),1)&amp;MID("▁▂▃▄▅▆▇█",IFERROR(1+ROUND(7*(O11-MIN($H11:$O11))/(MAX($H11:$O11)-MIN($H11:$O11)),0),4),1)</f>
        <v/>
      </c>
      <c r="U11" s="38" t="inlineStr">
        <is>
          <t>Where-is-my-order tickets up after the missed courier pickup.</t>
        </is>
      </c>
      <c r="V11">
        <f>IF(R11="Off track",COUNTIF(R$5:R11,"Off track"),"")</f>
        <v/>
      </c>
      <c r="W11">
        <f>IF(R11="Watch",COUNTIF(R$5:R11,"Watch"),"")</f>
        <v/>
      </c>
    </row>
    <row r="12" ht="30" customHeight="1">
      <c r="A12" s="30" t="inlineStr">
        <is>
          <t>Customer care</t>
        </is>
      </c>
      <c r="B12" s="31" t="inlineStr">
        <is>
          <t>QA score</t>
        </is>
      </c>
      <c r="C12" s="31" t="inlineStr">
        <is>
          <t>Care Team Lead</t>
        </is>
      </c>
      <c r="D12" s="32" t="inlineStr">
        <is>
          <t>%</t>
        </is>
      </c>
      <c r="E12" s="39" t="n">
        <v>0.92</v>
      </c>
      <c r="F12" s="32" t="inlineStr">
        <is>
          <t>Higher</t>
        </is>
      </c>
      <c r="G12" s="34" t="n">
        <v>0.03</v>
      </c>
      <c r="H12" s="39" t="n">
        <v>0.931</v>
      </c>
      <c r="I12" s="39" t="n">
        <v>0.924</v>
      </c>
      <c r="J12" s="39" t="n">
        <v>0.9379999999999999</v>
      </c>
      <c r="K12" s="39" t="n">
        <v>0.9399999999999999</v>
      </c>
      <c r="L12" s="39" t="n">
        <v>0.929</v>
      </c>
      <c r="M12" s="39" t="n">
        <v>0.9350000000000001</v>
      </c>
      <c r="N12" s="39" t="n">
        <v>0.922</v>
      </c>
      <c r="O12" s="39" t="n">
        <v>0.93</v>
      </c>
      <c r="P12" s="40">
        <f>O12</f>
        <v/>
      </c>
      <c r="Q12" s="41">
        <f>IF(P12="","",IF(F12="Higher",P12-E12,E12-P12))</f>
        <v/>
      </c>
      <c r="R12" s="32">
        <f>IF(P12="","",IF(F12="Higher",IF(P12&gt;=E12,"On track",IF(P12&gt;=E12*(1-G12),"Watch","Off track")),IF(P12&lt;=E12,"On track",IF(P12&lt;=E12*(1+G12),"Watch","Off track"))))</f>
        <v/>
      </c>
      <c r="S12" s="41">
        <f>IF(OR(N12="",O12=""),"",O12-N12)</f>
        <v/>
      </c>
      <c r="T12" s="37">
        <f>MID("▁▂▃▄▅▆▇█",IFERROR(1+ROUND(7*(H12-MIN($H12:$O12))/(MAX($H12:$O12)-MIN($H12:$O12)),0),4),1)&amp;MID("▁▂▃▄▅▆▇█",IFERROR(1+ROUND(7*(I12-MIN($H12:$O12))/(MAX($H12:$O12)-MIN($H12:$O12)),0),4),1)&amp;MID("▁▂▃▄▅▆▇█",IFERROR(1+ROUND(7*(J12-MIN($H12:$O12))/(MAX($H12:$O12)-MIN($H12:$O12)),0),4),1)&amp;MID("▁▂▃▄▅▆▇█",IFERROR(1+ROUND(7*(K12-MIN($H12:$O12))/(MAX($H12:$O12)-MIN($H12:$O12)),0),4),1)&amp;MID("▁▂▃▄▅▆▇█",IFERROR(1+ROUND(7*(L12-MIN($H12:$O12))/(MAX($H12:$O12)-MIN($H12:$O12)),0),4),1)&amp;MID("▁▂▃▄▅▆▇█",IFERROR(1+ROUND(7*(M12-MIN($H12:$O12))/(MAX($H12:$O12)-MIN($H12:$O12)),0),4),1)&amp;MID("▁▂▃▄▅▆▇█",IFERROR(1+ROUND(7*(N12-MIN($H12:$O12))/(MAX($H12:$O12)-MIN($H12:$O12)),0),4),1)&amp;MID("▁▂▃▄▅▆▇█",IFERROR(1+ROUND(7*(O12-MIN($H12:$O12))/(MAX($H12:$O12)-MIN($H12:$O12)),0),4),1)</f>
        <v/>
      </c>
      <c r="U12" s="38" t="inlineStr"/>
      <c r="V12">
        <f>IF(R12="Off track",COUNTIF(R$5:R12,"Off track"),"")</f>
        <v/>
      </c>
      <c r="W12">
        <f>IF(R12="Watch",COUNTIF(R$5:R12,"Watch"),"")</f>
        <v/>
      </c>
    </row>
    <row r="13" ht="30" customHeight="1">
      <c r="A13" s="12" t="inlineStr">
        <is>
          <t>Fulfilment</t>
        </is>
      </c>
      <c r="B13" s="13" t="inlineStr">
        <is>
          <t>Dispatched within 24h</t>
        </is>
      </c>
      <c r="C13" s="13" t="inlineStr">
        <is>
          <t>Fulfilment Coordinator</t>
        </is>
      </c>
      <c r="D13" s="14" t="inlineStr">
        <is>
          <t>%</t>
        </is>
      </c>
      <c r="E13" s="42" t="n">
        <v>0.95</v>
      </c>
      <c r="F13" s="14" t="inlineStr">
        <is>
          <t>Higher</t>
        </is>
      </c>
      <c r="G13" s="16" t="n">
        <v>0.02</v>
      </c>
      <c r="H13" s="42" t="n">
        <v>0.961</v>
      </c>
      <c r="I13" s="42" t="n">
        <v>0.958</v>
      </c>
      <c r="J13" s="42" t="n">
        <v>0.964</v>
      </c>
      <c r="K13" s="42" t="n">
        <v>0.952</v>
      </c>
      <c r="L13" s="42" t="n">
        <v>0.946</v>
      </c>
      <c r="M13" s="42" t="n">
        <v>0.959</v>
      </c>
      <c r="N13" s="42" t="n">
        <v>0.953</v>
      </c>
      <c r="O13" s="42" t="n">
        <v>0.91</v>
      </c>
      <c r="P13" s="43">
        <f>O13</f>
        <v/>
      </c>
      <c r="Q13" s="44">
        <f>IF(P13="","",IF(F13="Higher",P13-E13,E13-P13))</f>
        <v/>
      </c>
      <c r="R13" s="14">
        <f>IF(P13="","",IF(F13="Higher",IF(P13&gt;=E13,"On track",IF(P13&gt;=E13*(1-G13),"Watch","Off track")),IF(P13&lt;=E13,"On track",IF(P13&lt;=E13*(1+G13),"Watch","Off track"))))</f>
        <v/>
      </c>
      <c r="S13" s="44">
        <f>IF(OR(N13="",O13=""),"",O13-N13)</f>
        <v/>
      </c>
      <c r="T13" s="19">
        <f>MID("▁▂▃▄▅▆▇█",IFERROR(1+ROUND(7*(H13-MIN($H13:$O13))/(MAX($H13:$O13)-MIN($H13:$O13)),0),4),1)&amp;MID("▁▂▃▄▅▆▇█",IFERROR(1+ROUND(7*(I13-MIN($H13:$O13))/(MAX($H13:$O13)-MIN($H13:$O13)),0),4),1)&amp;MID("▁▂▃▄▅▆▇█",IFERROR(1+ROUND(7*(J13-MIN($H13:$O13))/(MAX($H13:$O13)-MIN($H13:$O13)),0),4),1)&amp;MID("▁▂▃▄▅▆▇█",IFERROR(1+ROUND(7*(K13-MIN($H13:$O13))/(MAX($H13:$O13)-MIN($H13:$O13)),0),4),1)&amp;MID("▁▂▃▄▅▆▇█",IFERROR(1+ROUND(7*(L13-MIN($H13:$O13))/(MAX($H13:$O13)-MIN($H13:$O13)),0),4),1)&amp;MID("▁▂▃▄▅▆▇█",IFERROR(1+ROUND(7*(M13-MIN($H13:$O13))/(MAX($H13:$O13)-MIN($H13:$O13)),0),4),1)&amp;MID("▁▂▃▄▅▆▇█",IFERROR(1+ROUND(7*(N13-MIN($H13:$O13))/(MAX($H13:$O13)-MIN($H13:$O13)),0),4),1)&amp;MID("▁▂▃▄▅▆▇█",IFERROR(1+ROUND(7*(O13-MIN($H13:$O13))/(MAX($H13:$O13)-MIN($H13:$O13)),0),4),1)</f>
        <v/>
      </c>
      <c r="U13" s="20" t="inlineStr">
        <is>
          <t>Courier missed Thursday pickup. Backup pickup slot requested.</t>
        </is>
      </c>
      <c r="V13">
        <f>IF(R13="Off track",COUNTIF(R$5:R13,"Off track"),"")</f>
        <v/>
      </c>
      <c r="W13">
        <f>IF(R13="Watch",COUNTIF(R$5:R13,"Watch"),"")</f>
        <v/>
      </c>
    </row>
    <row r="14" ht="30" customHeight="1">
      <c r="A14" s="12" t="inlineStr">
        <is>
          <t>Fulfilment</t>
        </is>
      </c>
      <c r="B14" s="13" t="inlineStr">
        <is>
          <t>Order accuracy</t>
        </is>
      </c>
      <c r="C14" s="13" t="inlineStr">
        <is>
          <t>Fulfilment Coordinator</t>
        </is>
      </c>
      <c r="D14" s="14" t="inlineStr">
        <is>
          <t>%</t>
        </is>
      </c>
      <c r="E14" s="42" t="n">
        <v>0.995</v>
      </c>
      <c r="F14" s="14" t="inlineStr">
        <is>
          <t>Higher</t>
        </is>
      </c>
      <c r="G14" s="45" t="n">
        <v>0.003</v>
      </c>
      <c r="H14" s="42" t="n">
        <v>0.996</v>
      </c>
      <c r="I14" s="42" t="n">
        <v>0.997</v>
      </c>
      <c r="J14" s="42" t="n">
        <v>0.995</v>
      </c>
      <c r="K14" s="42" t="n">
        <v>0.996</v>
      </c>
      <c r="L14" s="42" t="n">
        <v>0.994</v>
      </c>
      <c r="M14" s="42" t="n">
        <v>0.997</v>
      </c>
      <c r="N14" s="42" t="n">
        <v>0.996</v>
      </c>
      <c r="O14" s="42" t="n">
        <v>0.996</v>
      </c>
      <c r="P14" s="43">
        <f>O14</f>
        <v/>
      </c>
      <c r="Q14" s="44">
        <f>IF(P14="","",IF(F14="Higher",P14-E14,E14-P14))</f>
        <v/>
      </c>
      <c r="R14" s="14">
        <f>IF(P14="","",IF(F14="Higher",IF(P14&gt;=E14,"On track",IF(P14&gt;=E14*(1-G14),"Watch","Off track")),IF(P14&lt;=E14,"On track",IF(P14&lt;=E14*(1+G14),"Watch","Off track"))))</f>
        <v/>
      </c>
      <c r="S14" s="44">
        <f>IF(OR(N14="",O14=""),"",O14-N14)</f>
        <v/>
      </c>
      <c r="T14" s="19">
        <f>MID("▁▂▃▄▅▆▇█",IFERROR(1+ROUND(7*(H14-MIN($H14:$O14))/(MAX($H14:$O14)-MIN($H14:$O14)),0),4),1)&amp;MID("▁▂▃▄▅▆▇█",IFERROR(1+ROUND(7*(I14-MIN($H14:$O14))/(MAX($H14:$O14)-MIN($H14:$O14)),0),4),1)&amp;MID("▁▂▃▄▅▆▇█",IFERROR(1+ROUND(7*(J14-MIN($H14:$O14))/(MAX($H14:$O14)-MIN($H14:$O14)),0),4),1)&amp;MID("▁▂▃▄▅▆▇█",IFERROR(1+ROUND(7*(K14-MIN($H14:$O14))/(MAX($H14:$O14)-MIN($H14:$O14)),0),4),1)&amp;MID("▁▂▃▄▅▆▇█",IFERROR(1+ROUND(7*(L14-MIN($H14:$O14))/(MAX($H14:$O14)-MIN($H14:$O14)),0),4),1)&amp;MID("▁▂▃▄▅▆▇█",IFERROR(1+ROUND(7*(M14-MIN($H14:$O14))/(MAX($H14:$O14)-MIN($H14:$O14)),0),4),1)&amp;MID("▁▂▃▄▅▆▇█",IFERROR(1+ROUND(7*(N14-MIN($H14:$O14))/(MAX($H14:$O14)-MIN($H14:$O14)),0),4),1)&amp;MID("▁▂▃▄▅▆▇█",IFERROR(1+ROUND(7*(O14-MIN($H14:$O14))/(MAX($H14:$O14)-MIN($H14:$O14)),0),4),1)</f>
        <v/>
      </c>
      <c r="U14" s="20" t="inlineStr"/>
      <c r="V14">
        <f>IF(R14="Off track",COUNTIF(R$5:R14,"Off track"),"")</f>
        <v/>
      </c>
      <c r="W14">
        <f>IF(R14="Watch",COUNTIF(R$5:R14,"Watch"),"")</f>
        <v/>
      </c>
    </row>
    <row r="15" ht="30" customHeight="1">
      <c r="A15" s="12" t="inlineStr">
        <is>
          <t>Fulfilment</t>
        </is>
      </c>
      <c r="B15" s="13" t="inlineStr">
        <is>
          <t>Damaged in transit</t>
        </is>
      </c>
      <c r="C15" s="13" t="inlineStr">
        <is>
          <t>Fulfilment Coordinator</t>
        </is>
      </c>
      <c r="D15" s="14" t="inlineStr">
        <is>
          <t>%</t>
        </is>
      </c>
      <c r="E15" s="27" t="n">
        <v>0.008</v>
      </c>
      <c r="F15" s="14" t="inlineStr">
        <is>
          <t>Lower</t>
        </is>
      </c>
      <c r="G15" s="16" t="n">
        <v>0.1</v>
      </c>
      <c r="H15" s="27" t="n">
        <v>0.0072</v>
      </c>
      <c r="I15" s="27" t="n">
        <v>0.0068</v>
      </c>
      <c r="J15" s="27" t="n">
        <v>0.0081</v>
      </c>
      <c r="K15" s="27" t="n">
        <v>0.0075</v>
      </c>
      <c r="L15" s="27" t="n">
        <v>0.008999999999999999</v>
      </c>
      <c r="M15" s="27" t="n">
        <v>0.0077</v>
      </c>
      <c r="N15" s="27" t="n">
        <v>0.008399999999999999</v>
      </c>
      <c r="O15" s="27" t="n">
        <v>0.0083</v>
      </c>
      <c r="P15" s="28">
        <f>O15</f>
        <v/>
      </c>
      <c r="Q15" s="29">
        <f>IF(P15="","",IF(F15="Higher",P15-E15,E15-P15))</f>
        <v/>
      </c>
      <c r="R15" s="14">
        <f>IF(P15="","",IF(F15="Higher",IF(P15&gt;=E15,"On track",IF(P15&gt;=E15*(1-G15),"Watch","Off track")),IF(P15&lt;=E15,"On track",IF(P15&lt;=E15*(1+G15),"Watch","Off track"))))</f>
        <v/>
      </c>
      <c r="S15" s="29">
        <f>IF(OR(N15="",O15=""),"",O15-N15)</f>
        <v/>
      </c>
      <c r="T15" s="19">
        <f>MID("▁▂▃▄▅▆▇█",IFERROR(1+ROUND(7*(H15-MIN($H15:$O15))/(MAX($H15:$O15)-MIN($H15:$O15)),0),4),1)&amp;MID("▁▂▃▄▅▆▇█",IFERROR(1+ROUND(7*(I15-MIN($H15:$O15))/(MAX($H15:$O15)-MIN($H15:$O15)),0),4),1)&amp;MID("▁▂▃▄▅▆▇█",IFERROR(1+ROUND(7*(J15-MIN($H15:$O15))/(MAX($H15:$O15)-MIN($H15:$O15)),0),4),1)&amp;MID("▁▂▃▄▅▆▇█",IFERROR(1+ROUND(7*(K15-MIN($H15:$O15))/(MAX($H15:$O15)-MIN($H15:$O15)),0),4),1)&amp;MID("▁▂▃▄▅▆▇█",IFERROR(1+ROUND(7*(L15-MIN($H15:$O15))/(MAX($H15:$O15)-MIN($H15:$O15)),0),4),1)&amp;MID("▁▂▃▄▅▆▇█",IFERROR(1+ROUND(7*(M15-MIN($H15:$O15))/(MAX($H15:$O15)-MIN($H15:$O15)),0),4),1)&amp;MID("▁▂▃▄▅▆▇█",IFERROR(1+ROUND(7*(N15-MIN($H15:$O15))/(MAX($H15:$O15)-MIN($H15:$O15)),0),4),1)&amp;MID("▁▂▃▄▅▆▇█",IFERROR(1+ROUND(7*(O15-MIN($H15:$O15))/(MAX($H15:$O15)-MIN($H15:$O15)),0),4),1)</f>
        <v/>
      </c>
      <c r="U15" s="20" t="inlineStr">
        <is>
          <t>Watching VIC since the courier change on 1 Sep.</t>
        </is>
      </c>
      <c r="V15">
        <f>IF(R15="Off track",COUNTIF(R$5:R15,"Off track"),"")</f>
        <v/>
      </c>
      <c r="W15">
        <f>IF(R15="Watch",COUNTIF(R$5:R15,"Watch"),"")</f>
        <v/>
      </c>
    </row>
    <row r="16" ht="30" customHeight="1">
      <c r="A16" s="12" t="inlineStr">
        <is>
          <t>Fulfilment</t>
        </is>
      </c>
      <c r="B16" s="13" t="inlineStr">
        <is>
          <t>Cost per order shipped</t>
        </is>
      </c>
      <c r="C16" s="13" t="inlineStr">
        <is>
          <t>Fulfilment Coordinator</t>
        </is>
      </c>
      <c r="D16" s="14" t="inlineStr">
        <is>
          <t>A$</t>
        </is>
      </c>
      <c r="E16" s="24" t="n">
        <v>11.5</v>
      </c>
      <c r="F16" s="14" t="inlineStr">
        <is>
          <t>Lower</t>
        </is>
      </c>
      <c r="G16" s="16" t="n">
        <v>0.05</v>
      </c>
      <c r="H16" s="24" t="n">
        <v>11.2</v>
      </c>
      <c r="I16" s="24" t="n">
        <v>11.35</v>
      </c>
      <c r="J16" s="24" t="n">
        <v>11.1</v>
      </c>
      <c r="K16" s="24" t="n">
        <v>11.42</v>
      </c>
      <c r="L16" s="24" t="n">
        <v>11.65</v>
      </c>
      <c r="M16" s="24" t="n">
        <v>11.38</v>
      </c>
      <c r="N16" s="24" t="n">
        <v>11.51</v>
      </c>
      <c r="O16" s="24" t="n">
        <v>11.44</v>
      </c>
      <c r="P16" s="25">
        <f>O16</f>
        <v/>
      </c>
      <c r="Q16" s="26">
        <f>IF(P16="","",IF(F16="Higher",P16-E16,E16-P16))</f>
        <v/>
      </c>
      <c r="R16" s="14">
        <f>IF(P16="","",IF(F16="Higher",IF(P16&gt;=E16,"On track",IF(P16&gt;=E16*(1-G16),"Watch","Off track")),IF(P16&lt;=E16,"On track",IF(P16&lt;=E16*(1+G16),"Watch","Off track"))))</f>
        <v/>
      </c>
      <c r="S16" s="26">
        <f>IF(OR(N16="",O16=""),"",O16-N16)</f>
        <v/>
      </c>
      <c r="T16" s="19">
        <f>MID("▁▂▃▄▅▆▇█",IFERROR(1+ROUND(7*(H16-MIN($H16:$O16))/(MAX($H16:$O16)-MIN($H16:$O16)),0),4),1)&amp;MID("▁▂▃▄▅▆▇█",IFERROR(1+ROUND(7*(I16-MIN($H16:$O16))/(MAX($H16:$O16)-MIN($H16:$O16)),0),4),1)&amp;MID("▁▂▃▄▅▆▇█",IFERROR(1+ROUND(7*(J16-MIN($H16:$O16))/(MAX($H16:$O16)-MIN($H16:$O16)),0),4),1)&amp;MID("▁▂▃▄▅▆▇█",IFERROR(1+ROUND(7*(K16-MIN($H16:$O16))/(MAX($H16:$O16)-MIN($H16:$O16)),0),4),1)&amp;MID("▁▂▃▄▅▆▇█",IFERROR(1+ROUND(7*(L16-MIN($H16:$O16))/(MAX($H16:$O16)-MIN($H16:$O16)),0),4),1)&amp;MID("▁▂▃▄▅▆▇█",IFERROR(1+ROUND(7*(M16-MIN($H16:$O16))/(MAX($H16:$O16)-MIN($H16:$O16)),0),4),1)&amp;MID("▁▂▃▄▅▆▇█",IFERROR(1+ROUND(7*(N16-MIN($H16:$O16))/(MAX($H16:$O16)-MIN($H16:$O16)),0),4),1)&amp;MID("▁▂▃▄▅▆▇█",IFERROR(1+ROUND(7*(O16-MIN($H16:$O16))/(MAX($H16:$O16)-MIN($H16:$O16)),0),4),1)</f>
        <v/>
      </c>
      <c r="U16" s="20" t="inlineStr"/>
      <c r="V16">
        <f>IF(R16="Off track",COUNTIF(R$5:R16,"Off track"),"")</f>
        <v/>
      </c>
      <c r="W16">
        <f>IF(R16="Watch",COUNTIF(R$5:R16,"Watch"),"")</f>
        <v/>
      </c>
    </row>
    <row r="17" ht="30" customHeight="1">
      <c r="A17" s="30" t="inlineStr">
        <is>
          <t>Marketing</t>
        </is>
      </c>
      <c r="B17" s="31" t="inlineStr">
        <is>
          <t>Return on ad spend</t>
        </is>
      </c>
      <c r="C17" s="31" t="inlineStr">
        <is>
          <t>Marketing Lead</t>
        </is>
      </c>
      <c r="D17" s="32" t="inlineStr">
        <is>
          <t>x</t>
        </is>
      </c>
      <c r="E17" s="46" t="n">
        <v>4</v>
      </c>
      <c r="F17" s="32" t="inlineStr">
        <is>
          <t>Higher</t>
        </is>
      </c>
      <c r="G17" s="34" t="n">
        <v>0.05</v>
      </c>
      <c r="H17" s="46" t="n">
        <v>4.3</v>
      </c>
      <c r="I17" s="46" t="n">
        <v>4.1</v>
      </c>
      <c r="J17" s="46" t="n">
        <v>3.8</v>
      </c>
      <c r="K17" s="46" t="n">
        <v>4.2</v>
      </c>
      <c r="L17" s="46" t="n">
        <v>4.6</v>
      </c>
      <c r="M17" s="46" t="n">
        <v>4.4</v>
      </c>
      <c r="N17" s="46" t="n">
        <v>4.9</v>
      </c>
      <c r="O17" s="46" t="n">
        <v>4.5</v>
      </c>
      <c r="P17" s="47">
        <f>O17</f>
        <v/>
      </c>
      <c r="Q17" s="48">
        <f>IF(P17="","",IF(F17="Higher",P17-E17,E17-P17))</f>
        <v/>
      </c>
      <c r="R17" s="32">
        <f>IF(P17="","",IF(F17="Higher",IF(P17&gt;=E17,"On track",IF(P17&gt;=E17*(1-G17),"Watch","Off track")),IF(P17&lt;=E17,"On track",IF(P17&lt;=E17*(1+G17),"Watch","Off track"))))</f>
        <v/>
      </c>
      <c r="S17" s="48">
        <f>IF(OR(N17="",O17=""),"",O17-N17)</f>
        <v/>
      </c>
      <c r="T17" s="37">
        <f>MID("▁▂▃▄▅▆▇█",IFERROR(1+ROUND(7*(H17-MIN($H17:$O17))/(MAX($H17:$O17)-MIN($H17:$O17)),0),4),1)&amp;MID("▁▂▃▄▅▆▇█",IFERROR(1+ROUND(7*(I17-MIN($H17:$O17))/(MAX($H17:$O17)-MIN($H17:$O17)),0),4),1)&amp;MID("▁▂▃▄▅▆▇█",IFERROR(1+ROUND(7*(J17-MIN($H17:$O17))/(MAX($H17:$O17)-MIN($H17:$O17)),0),4),1)&amp;MID("▁▂▃▄▅▆▇█",IFERROR(1+ROUND(7*(K17-MIN($H17:$O17))/(MAX($H17:$O17)-MIN($H17:$O17)),0),4),1)&amp;MID("▁▂▃▄▅▆▇█",IFERROR(1+ROUND(7*(L17-MIN($H17:$O17))/(MAX($H17:$O17)-MIN($H17:$O17)),0),4),1)&amp;MID("▁▂▃▄▅▆▇█",IFERROR(1+ROUND(7*(M17-MIN($H17:$O17))/(MAX($H17:$O17)-MIN($H17:$O17)),0),4),1)&amp;MID("▁▂▃▄▅▆▇█",IFERROR(1+ROUND(7*(N17-MIN($H17:$O17))/(MAX($H17:$O17)-MIN($H17:$O17)),0),4),1)&amp;MID("▁▂▃▄▅▆▇█",IFERROR(1+ROUND(7*(O17-MIN($H17:$O17))/(MAX($H17:$O17)-MIN($H17:$O17)),0),4),1)</f>
        <v/>
      </c>
      <c r="U17" s="38" t="inlineStr"/>
      <c r="V17">
        <f>IF(R17="Off track",COUNTIF(R$5:R17,"Off track"),"")</f>
        <v/>
      </c>
      <c r="W17">
        <f>IF(R17="Watch",COUNTIF(R$5:R17,"Watch"),"")</f>
        <v/>
      </c>
    </row>
    <row r="18" ht="30" customHeight="1">
      <c r="A18" s="30" t="inlineStr">
        <is>
          <t>Marketing</t>
        </is>
      </c>
      <c r="B18" s="31" t="inlineStr">
        <is>
          <t>New customers</t>
        </is>
      </c>
      <c r="C18" s="31" t="inlineStr">
        <is>
          <t>Marketing Lead</t>
        </is>
      </c>
      <c r="D18" s="32" t="inlineStr">
        <is>
          <t>#</t>
        </is>
      </c>
      <c r="E18" s="49" t="n">
        <v>1200</v>
      </c>
      <c r="F18" s="32" t="inlineStr">
        <is>
          <t>Higher</t>
        </is>
      </c>
      <c r="G18" s="34" t="n">
        <v>0.05</v>
      </c>
      <c r="H18" s="49" t="n">
        <v>1105</v>
      </c>
      <c r="I18" s="49" t="n">
        <v>1162</v>
      </c>
      <c r="J18" s="49" t="n">
        <v>1048</v>
      </c>
      <c r="K18" s="49" t="n">
        <v>1190</v>
      </c>
      <c r="L18" s="49" t="n">
        <v>1311</v>
      </c>
      <c r="M18" s="49" t="n">
        <v>1224</v>
      </c>
      <c r="N18" s="49" t="n">
        <v>1356</v>
      </c>
      <c r="O18" s="49" t="n">
        <v>1268</v>
      </c>
      <c r="P18" s="50">
        <f>O18</f>
        <v/>
      </c>
      <c r="Q18" s="51">
        <f>IF(P18="","",IF(F18="Higher",P18-E18,E18-P18))</f>
        <v/>
      </c>
      <c r="R18" s="32">
        <f>IF(P18="","",IF(F18="Higher",IF(P18&gt;=E18,"On track",IF(P18&gt;=E18*(1-G18),"Watch","Off track")),IF(P18&lt;=E18,"On track",IF(P18&lt;=E18*(1+G18),"Watch","Off track"))))</f>
        <v/>
      </c>
      <c r="S18" s="51">
        <f>IF(OR(N18="",O18=""),"",O18-N18)</f>
        <v/>
      </c>
      <c r="T18" s="37">
        <f>MID("▁▂▃▄▅▆▇█",IFERROR(1+ROUND(7*(H18-MIN($H18:$O18))/(MAX($H18:$O18)-MIN($H18:$O18)),0),4),1)&amp;MID("▁▂▃▄▅▆▇█",IFERROR(1+ROUND(7*(I18-MIN($H18:$O18))/(MAX($H18:$O18)-MIN($H18:$O18)),0),4),1)&amp;MID("▁▂▃▄▅▆▇█",IFERROR(1+ROUND(7*(J18-MIN($H18:$O18))/(MAX($H18:$O18)-MIN($H18:$O18)),0),4),1)&amp;MID("▁▂▃▄▅▆▇█",IFERROR(1+ROUND(7*(K18-MIN($H18:$O18))/(MAX($H18:$O18)-MIN($H18:$O18)),0),4),1)&amp;MID("▁▂▃▄▅▆▇█",IFERROR(1+ROUND(7*(L18-MIN($H18:$O18))/(MAX($H18:$O18)-MIN($H18:$O18)),0),4),1)&amp;MID("▁▂▃▄▅▆▇█",IFERROR(1+ROUND(7*(M18-MIN($H18:$O18))/(MAX($H18:$O18)-MIN($H18:$O18)),0),4),1)&amp;MID("▁▂▃▄▅▆▇█",IFERROR(1+ROUND(7*(N18-MIN($H18:$O18))/(MAX($H18:$O18)-MIN($H18:$O18)),0),4),1)&amp;MID("▁▂▃▄▅▆▇█",IFERROR(1+ROUND(7*(O18-MIN($H18:$O18))/(MAX($H18:$O18)-MIN($H18:$O18)),0),4),1)</f>
        <v/>
      </c>
      <c r="U18" s="38" t="inlineStr"/>
      <c r="V18">
        <f>IF(R18="Off track",COUNTIF(R$5:R18,"Off track"),"")</f>
        <v/>
      </c>
      <c r="W18">
        <f>IF(R18="Watch",COUNTIF(R$5:R18,"Watch"),"")</f>
        <v/>
      </c>
    </row>
    <row r="19" ht="30" customHeight="1">
      <c r="A19" s="30" t="inlineStr">
        <is>
          <t>Marketing</t>
        </is>
      </c>
      <c r="B19" s="31" t="inlineStr">
        <is>
          <t>Cost per new customer</t>
        </is>
      </c>
      <c r="C19" s="31" t="inlineStr">
        <is>
          <t>Marketing Lead</t>
        </is>
      </c>
      <c r="D19" s="32" t="inlineStr">
        <is>
          <t>A$</t>
        </is>
      </c>
      <c r="E19" s="52" t="n">
        <v>38</v>
      </c>
      <c r="F19" s="32" t="inlineStr">
        <is>
          <t>Lower</t>
        </is>
      </c>
      <c r="G19" s="34" t="n">
        <v>0.05</v>
      </c>
      <c r="H19" s="52" t="n">
        <v>39.8</v>
      </c>
      <c r="I19" s="52" t="n">
        <v>38.2</v>
      </c>
      <c r="J19" s="52" t="n">
        <v>41.5</v>
      </c>
      <c r="K19" s="52" t="n">
        <v>37.9</v>
      </c>
      <c r="L19" s="52" t="n">
        <v>35.6</v>
      </c>
      <c r="M19" s="52" t="n">
        <v>36.8</v>
      </c>
      <c r="N19" s="52" t="n">
        <v>34.9</v>
      </c>
      <c r="O19" s="52" t="n">
        <v>36.2</v>
      </c>
      <c r="P19" s="53">
        <f>O19</f>
        <v/>
      </c>
      <c r="Q19" s="54">
        <f>IF(P19="","",IF(F19="Higher",P19-E19,E19-P19))</f>
        <v/>
      </c>
      <c r="R19" s="32">
        <f>IF(P19="","",IF(F19="Higher",IF(P19&gt;=E19,"On track",IF(P19&gt;=E19*(1-G19),"Watch","Off track")),IF(P19&lt;=E19,"On track",IF(P19&lt;=E19*(1+G19),"Watch","Off track"))))</f>
        <v/>
      </c>
      <c r="S19" s="54">
        <f>IF(OR(N19="",O19=""),"",O19-N19)</f>
        <v/>
      </c>
      <c r="T19" s="37">
        <f>MID("▁▂▃▄▅▆▇█",IFERROR(1+ROUND(7*(H19-MIN($H19:$O19))/(MAX($H19:$O19)-MIN($H19:$O19)),0),4),1)&amp;MID("▁▂▃▄▅▆▇█",IFERROR(1+ROUND(7*(I19-MIN($H19:$O19))/(MAX($H19:$O19)-MIN($H19:$O19)),0),4),1)&amp;MID("▁▂▃▄▅▆▇█",IFERROR(1+ROUND(7*(J19-MIN($H19:$O19))/(MAX($H19:$O19)-MIN($H19:$O19)),0),4),1)&amp;MID("▁▂▃▄▅▆▇█",IFERROR(1+ROUND(7*(K19-MIN($H19:$O19))/(MAX($H19:$O19)-MIN($H19:$O19)),0),4),1)&amp;MID("▁▂▃▄▅▆▇█",IFERROR(1+ROUND(7*(L19-MIN($H19:$O19))/(MAX($H19:$O19)-MIN($H19:$O19)),0),4),1)&amp;MID("▁▂▃▄▅▆▇█",IFERROR(1+ROUND(7*(M19-MIN($H19:$O19))/(MAX($H19:$O19)-MIN($H19:$O19)),0),4),1)&amp;MID("▁▂▃▄▅▆▇█",IFERROR(1+ROUND(7*(N19-MIN($H19:$O19))/(MAX($H19:$O19)-MIN($H19:$O19)),0),4),1)&amp;MID("▁▂▃▄▅▆▇█",IFERROR(1+ROUND(7*(O19-MIN($H19:$O19))/(MAX($H19:$O19)-MIN($H19:$O19)),0),4),1)</f>
        <v/>
      </c>
      <c r="U19" s="38" t="inlineStr"/>
      <c r="V19">
        <f>IF(R19="Off track",COUNTIF(R$5:R19,"Off track"),"")</f>
        <v/>
      </c>
      <c r="W19">
        <f>IF(R19="Watch",COUNTIF(R$5:R19,"Watch"),"")</f>
        <v/>
      </c>
    </row>
    <row r="20" ht="30" customHeight="1">
      <c r="A20" s="30" t="inlineStr">
        <is>
          <t>Marketing</t>
        </is>
      </c>
      <c r="B20" s="31" t="inlineStr">
        <is>
          <t>Email share of revenue</t>
        </is>
      </c>
      <c r="C20" s="31" t="inlineStr">
        <is>
          <t>Marketing Lead</t>
        </is>
      </c>
      <c r="D20" s="32" t="inlineStr">
        <is>
          <t>%</t>
        </is>
      </c>
      <c r="E20" s="39" t="n">
        <v>0.22</v>
      </c>
      <c r="F20" s="32" t="inlineStr">
        <is>
          <t>Higher</t>
        </is>
      </c>
      <c r="G20" s="34" t="n">
        <v>0.05</v>
      </c>
      <c r="H20" s="39" t="n">
        <v>0.214</v>
      </c>
      <c r="I20" s="39" t="n">
        <v>0.228</v>
      </c>
      <c r="J20" s="39" t="n">
        <v>0.209</v>
      </c>
      <c r="K20" s="39" t="n">
        <v>0.231</v>
      </c>
      <c r="L20" s="39" t="n">
        <v>0.196</v>
      </c>
      <c r="M20" s="39" t="n">
        <v>0.224</v>
      </c>
      <c r="N20" s="39" t="n">
        <v>0.187</v>
      </c>
      <c r="O20" s="39" t="n">
        <v>0.205</v>
      </c>
      <c r="P20" s="40">
        <f>O20</f>
        <v/>
      </c>
      <c r="Q20" s="41">
        <f>IF(P20="","",IF(F20="Higher",P20-E20,E20-P20))</f>
        <v/>
      </c>
      <c r="R20" s="32">
        <f>IF(P20="","",IF(F20="Higher",IF(P20&gt;=E20,"On track",IF(P20&gt;=E20*(1-G20),"Watch","Off track")),IF(P20&lt;=E20,"On track",IF(P20&lt;=E20*(1+G20),"Watch","Off track"))))</f>
        <v/>
      </c>
      <c r="S20" s="41">
        <f>IF(OR(N20="",O20=""),"",O20-N20)</f>
        <v/>
      </c>
      <c r="T20" s="37">
        <f>MID("▁▂▃▄▅▆▇█",IFERROR(1+ROUND(7*(H20-MIN($H20:$O20))/(MAX($H20:$O20)-MIN($H20:$O20)),0),4),1)&amp;MID("▁▂▃▄▅▆▇█",IFERROR(1+ROUND(7*(I20-MIN($H20:$O20))/(MAX($H20:$O20)-MIN($H20:$O20)),0),4),1)&amp;MID("▁▂▃▄▅▆▇█",IFERROR(1+ROUND(7*(J20-MIN($H20:$O20))/(MAX($H20:$O20)-MIN($H20:$O20)),0),4),1)&amp;MID("▁▂▃▄▅▆▇█",IFERROR(1+ROUND(7*(K20-MIN($H20:$O20))/(MAX($H20:$O20)-MIN($H20:$O20)),0),4),1)&amp;MID("▁▂▃▄▅▆▇█",IFERROR(1+ROUND(7*(L20-MIN($H20:$O20))/(MAX($H20:$O20)-MIN($H20:$O20)),0),4),1)&amp;MID("▁▂▃▄▅▆▇█",IFERROR(1+ROUND(7*(M20-MIN($H20:$O20))/(MAX($H20:$O20)-MIN($H20:$O20)),0),4),1)&amp;MID("▁▂▃▄▅▆▇█",IFERROR(1+ROUND(7*(N20-MIN($H20:$O20))/(MAX($H20:$O20)-MIN($H20:$O20)),0),4),1)&amp;MID("▁▂▃▄▅▆▇█",IFERROR(1+ROUND(7*(O20-MIN($H20:$O20))/(MAX($H20:$O20)-MIN($H20:$O20)),0),4),1)</f>
        <v/>
      </c>
      <c r="U20" s="38" t="inlineStr">
        <is>
          <t>Only one campaign sent this week. Two planned for next week.</t>
        </is>
      </c>
      <c r="V20">
        <f>IF(R20="Off track",COUNTIF(R$5:R20,"Off track"),"")</f>
        <v/>
      </c>
      <c r="W20">
        <f>IF(R20="Watch",COUNTIF(R$5:R20,"Watch"),"")</f>
        <v/>
      </c>
    </row>
  </sheetData>
  <mergeCells count="2">
    <mergeCell ref="P3:T3"/>
    <mergeCell ref="H3:O3"/>
  </mergeCells>
  <conditionalFormatting sqref="R5:R20">
    <cfRule type="expression" priority="1" dxfId="0">
      <formula>$R5="On track"</formula>
    </cfRule>
    <cfRule type="expression" priority="2" dxfId="1">
      <formula>$R5="Watch"</formula>
    </cfRule>
    <cfRule type="expression" priority="3" dxfId="2">
      <formula>$R5="Off track"</formula>
    </cfRule>
  </conditionalFormatting>
  <conditionalFormatting sqref="Q5:Q20">
    <cfRule type="expression" priority="4" dxfId="3">
      <formula>AND(ISNUMBER(Q5),Q5&gt;0)</formula>
    </cfRule>
    <cfRule type="expression" priority="5" dxfId="4">
      <formula>AND(ISNUMBER(Q5),Q5&lt;0)</formula>
    </cfRule>
  </conditionalFormatting>
  <conditionalFormatting sqref="S5:S20">
    <cfRule type="expression" priority="6" dxfId="3">
      <formula>AND(ISNUMBER(S5),S5&lt;&gt;0,($F5="Higher")=(S5&gt;0))</formula>
    </cfRule>
    <cfRule type="expression" priority="7" dxfId="4">
      <formula>AND(ISNUMBER(S5),S5&lt;&gt;0,($F5="Higher")&lt;&gt;(S5&gt;0))</formula>
    </cfRule>
  </conditionalFormatting>
  <dataValidations count="1">
    <dataValidation sqref="F5:F20" showDropDown="0" showInputMessage="0" showErrorMessage="0" allowBlank="0" type="list">
      <formula1>"Higher,Lower"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2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5" t="inlineStr">
        <is>
          <t>Scorecard summary</t>
        </is>
      </c>
    </row>
    <row r="2">
      <c r="A2" s="6" t="inlineStr">
        <is>
          <t>Week ending</t>
        </is>
      </c>
      <c r="B2" s="55">
        <f>Scorecard!C2</f>
        <v/>
      </c>
    </row>
    <row r="4">
      <c r="A4" s="56" t="inlineStr">
        <is>
          <t>Function</t>
        </is>
      </c>
      <c r="B4" s="56" t="inlineStr">
        <is>
          <t>KPIs</t>
        </is>
      </c>
      <c r="C4" s="56" t="inlineStr">
        <is>
          <t>On track</t>
        </is>
      </c>
      <c r="D4" s="56" t="inlineStr">
        <is>
          <t>Watch</t>
        </is>
      </c>
      <c r="E4" s="56" t="inlineStr">
        <is>
          <t>Off track</t>
        </is>
      </c>
      <c r="F4" s="56" t="inlineStr">
        <is>
          <t>% on track</t>
        </is>
      </c>
    </row>
    <row r="5">
      <c r="A5" s="57" t="inlineStr">
        <is>
          <t>Sales</t>
        </is>
      </c>
      <c r="B5" s="58">
        <f>COUNTIF(Scorecard!$A$5:$A$20,$A5)</f>
        <v/>
      </c>
      <c r="C5" s="58">
        <f>COUNTIFS(Scorecard!$A$5:$A$20,$A5,Scorecard!$R$5:$R$20,C$4)</f>
        <v/>
      </c>
      <c r="D5" s="58">
        <f>COUNTIFS(Scorecard!$A$5:$A$20,$A5,Scorecard!$R$5:$R$20,D$4)</f>
        <v/>
      </c>
      <c r="E5" s="58">
        <f>COUNTIFS(Scorecard!$A$5:$A$20,$A5,Scorecard!$R$5:$R$20,E$4)</f>
        <v/>
      </c>
      <c r="F5" s="59">
        <f>IF(B5=0,"",C5/B5)</f>
        <v/>
      </c>
    </row>
    <row r="6">
      <c r="A6" s="57" t="inlineStr">
        <is>
          <t>Customer care</t>
        </is>
      </c>
      <c r="B6" s="58">
        <f>COUNTIF(Scorecard!$A$5:$A$20,$A6)</f>
        <v/>
      </c>
      <c r="C6" s="58">
        <f>COUNTIFS(Scorecard!$A$5:$A$20,$A6,Scorecard!$R$5:$R$20,C$4)</f>
        <v/>
      </c>
      <c r="D6" s="58">
        <f>COUNTIFS(Scorecard!$A$5:$A$20,$A6,Scorecard!$R$5:$R$20,D$4)</f>
        <v/>
      </c>
      <c r="E6" s="58">
        <f>COUNTIFS(Scorecard!$A$5:$A$20,$A6,Scorecard!$R$5:$R$20,E$4)</f>
        <v/>
      </c>
      <c r="F6" s="59">
        <f>IF(B6=0,"",C6/B6)</f>
        <v/>
      </c>
    </row>
    <row r="7">
      <c r="A7" s="57" t="inlineStr">
        <is>
          <t>Fulfilment</t>
        </is>
      </c>
      <c r="B7" s="58">
        <f>COUNTIF(Scorecard!$A$5:$A$20,$A7)</f>
        <v/>
      </c>
      <c r="C7" s="58">
        <f>COUNTIFS(Scorecard!$A$5:$A$20,$A7,Scorecard!$R$5:$R$20,C$4)</f>
        <v/>
      </c>
      <c r="D7" s="58">
        <f>COUNTIFS(Scorecard!$A$5:$A$20,$A7,Scorecard!$R$5:$R$20,D$4)</f>
        <v/>
      </c>
      <c r="E7" s="58">
        <f>COUNTIFS(Scorecard!$A$5:$A$20,$A7,Scorecard!$R$5:$R$20,E$4)</f>
        <v/>
      </c>
      <c r="F7" s="59">
        <f>IF(B7=0,"",C7/B7)</f>
        <v/>
      </c>
    </row>
    <row r="8">
      <c r="A8" s="57" t="inlineStr">
        <is>
          <t>Marketing</t>
        </is>
      </c>
      <c r="B8" s="58">
        <f>COUNTIF(Scorecard!$A$5:$A$20,$A8)</f>
        <v/>
      </c>
      <c r="C8" s="58">
        <f>COUNTIFS(Scorecard!$A$5:$A$20,$A8,Scorecard!$R$5:$R$20,C$4)</f>
        <v/>
      </c>
      <c r="D8" s="58">
        <f>COUNTIFS(Scorecard!$A$5:$A$20,$A8,Scorecard!$R$5:$R$20,D$4)</f>
        <v/>
      </c>
      <c r="E8" s="58">
        <f>COUNTIFS(Scorecard!$A$5:$A$20,$A8,Scorecard!$R$5:$R$20,E$4)</f>
        <v/>
      </c>
      <c r="F8" s="59">
        <f>IF(B8=0,"",C8/B8)</f>
        <v/>
      </c>
    </row>
    <row r="9">
      <c r="A9" s="60" t="inlineStr">
        <is>
          <t>All KPIs</t>
        </is>
      </c>
      <c r="B9" s="61">
        <f>SUM(B5:B8)</f>
        <v/>
      </c>
      <c r="C9" s="61">
        <f>SUM(C5:C8)</f>
        <v/>
      </c>
      <c r="D9" s="61">
        <f>SUM(D5:D8)</f>
        <v/>
      </c>
      <c r="E9" s="61">
        <f>SUM(E5:E8)</f>
        <v/>
      </c>
      <c r="F9" s="62">
        <f>IF(B9=0,"",C9/B9)</f>
        <v/>
      </c>
    </row>
    <row r="12">
      <c r="A12" s="63" t="inlineStr">
        <is>
          <t>Off track this week</t>
        </is>
      </c>
    </row>
    <row r="13">
      <c r="A13" s="64" t="inlineStr">
        <is>
          <t>#</t>
        </is>
      </c>
      <c r="B13" s="64" t="inlineStr">
        <is>
          <t>Function</t>
        </is>
      </c>
      <c r="C13" s="64" t="inlineStr">
        <is>
          <t>KPI</t>
        </is>
      </c>
      <c r="D13" s="64" t="inlineStr">
        <is>
          <t>Owner</t>
        </is>
      </c>
      <c r="E13" s="64" t="inlineStr">
        <is>
          <t>Comment</t>
        </is>
      </c>
      <c r="F13" s="65" t="n"/>
      <c r="G13" s="65" t="n"/>
      <c r="H13" s="66" t="n"/>
    </row>
    <row r="14" ht="30" customHeight="1">
      <c r="A14" s="67" t="n">
        <v>1</v>
      </c>
      <c r="B14" s="57">
        <f>IFERROR(INDEX(Scorecard!$A$5:$A$20,MATCH(1,Scorecard!$V$5:$V$20,0))&amp;"","")</f>
        <v/>
      </c>
      <c r="C14" s="57">
        <f>IFERROR(INDEX(Scorecard!$B$5:$B$20,MATCH(1,Scorecard!$V$5:$V$20,0))&amp;"","")</f>
        <v/>
      </c>
      <c r="D14" s="57">
        <f>IFERROR(INDEX(Scorecard!$C$5:$C$20,MATCH(1,Scorecard!$V$5:$V$20,0))&amp;"","")</f>
        <v/>
      </c>
      <c r="E14" s="68">
        <f>IFERROR(INDEX(Scorecard!$U$5:$U$20,MATCH(1,Scorecard!$V$5:$V$20,0))&amp;"","")</f>
        <v/>
      </c>
      <c r="F14" s="57" t="n"/>
      <c r="G14" s="57" t="n"/>
      <c r="H14" s="57" t="n"/>
    </row>
    <row r="15" ht="30" customHeight="1">
      <c r="A15" s="67" t="n">
        <v>2</v>
      </c>
      <c r="B15" s="57">
        <f>IFERROR(INDEX(Scorecard!$A$5:$A$20,MATCH(2,Scorecard!$V$5:$V$20,0))&amp;"","")</f>
        <v/>
      </c>
      <c r="C15" s="57">
        <f>IFERROR(INDEX(Scorecard!$B$5:$B$20,MATCH(2,Scorecard!$V$5:$V$20,0))&amp;"","")</f>
        <v/>
      </c>
      <c r="D15" s="57">
        <f>IFERROR(INDEX(Scorecard!$C$5:$C$20,MATCH(2,Scorecard!$V$5:$V$20,0))&amp;"","")</f>
        <v/>
      </c>
      <c r="E15" s="68">
        <f>IFERROR(INDEX(Scorecard!$U$5:$U$20,MATCH(2,Scorecard!$V$5:$V$20,0))&amp;"","")</f>
        <v/>
      </c>
      <c r="F15" s="57" t="n"/>
      <c r="G15" s="57" t="n"/>
      <c r="H15" s="57" t="n"/>
    </row>
    <row r="16" ht="30" customHeight="1">
      <c r="A16" s="67" t="n">
        <v>3</v>
      </c>
      <c r="B16" s="57">
        <f>IFERROR(INDEX(Scorecard!$A$5:$A$20,MATCH(3,Scorecard!$V$5:$V$20,0))&amp;"","")</f>
        <v/>
      </c>
      <c r="C16" s="57">
        <f>IFERROR(INDEX(Scorecard!$B$5:$B$20,MATCH(3,Scorecard!$V$5:$V$20,0))&amp;"","")</f>
        <v/>
      </c>
      <c r="D16" s="57">
        <f>IFERROR(INDEX(Scorecard!$C$5:$C$20,MATCH(3,Scorecard!$V$5:$V$20,0))&amp;"","")</f>
        <v/>
      </c>
      <c r="E16" s="68">
        <f>IFERROR(INDEX(Scorecard!$U$5:$U$20,MATCH(3,Scorecard!$V$5:$V$20,0))&amp;"","")</f>
        <v/>
      </c>
      <c r="F16" s="57" t="n"/>
      <c r="G16" s="57" t="n"/>
      <c r="H16" s="57" t="n"/>
    </row>
    <row r="17" ht="30" customHeight="1">
      <c r="A17" s="67" t="n">
        <v>4</v>
      </c>
      <c r="B17" s="57">
        <f>IFERROR(INDEX(Scorecard!$A$5:$A$20,MATCH(4,Scorecard!$V$5:$V$20,0))&amp;"","")</f>
        <v/>
      </c>
      <c r="C17" s="57">
        <f>IFERROR(INDEX(Scorecard!$B$5:$B$20,MATCH(4,Scorecard!$V$5:$V$20,0))&amp;"","")</f>
        <v/>
      </c>
      <c r="D17" s="57">
        <f>IFERROR(INDEX(Scorecard!$C$5:$C$20,MATCH(4,Scorecard!$V$5:$V$20,0))&amp;"","")</f>
        <v/>
      </c>
      <c r="E17" s="68">
        <f>IFERROR(INDEX(Scorecard!$U$5:$U$20,MATCH(4,Scorecard!$V$5:$V$20,0))&amp;"","")</f>
        <v/>
      </c>
      <c r="F17" s="57" t="n"/>
      <c r="G17" s="57" t="n"/>
      <c r="H17" s="57" t="n"/>
    </row>
    <row r="18" ht="30" customHeight="1">
      <c r="A18" s="67" t="n">
        <v>5</v>
      </c>
      <c r="B18" s="57">
        <f>IFERROR(INDEX(Scorecard!$A$5:$A$20,MATCH(5,Scorecard!$V$5:$V$20,0))&amp;"","")</f>
        <v/>
      </c>
      <c r="C18" s="57">
        <f>IFERROR(INDEX(Scorecard!$B$5:$B$20,MATCH(5,Scorecard!$V$5:$V$20,0))&amp;"","")</f>
        <v/>
      </c>
      <c r="D18" s="57">
        <f>IFERROR(INDEX(Scorecard!$C$5:$C$20,MATCH(5,Scorecard!$V$5:$V$20,0))&amp;"","")</f>
        <v/>
      </c>
      <c r="E18" s="68">
        <f>IFERROR(INDEX(Scorecard!$U$5:$U$20,MATCH(5,Scorecard!$V$5:$V$20,0))&amp;"","")</f>
        <v/>
      </c>
      <c r="F18" s="57" t="n"/>
      <c r="G18" s="57" t="n"/>
      <c r="H18" s="57" t="n"/>
    </row>
    <row r="19" ht="30" customHeight="1">
      <c r="A19" s="67" t="n">
        <v>6</v>
      </c>
      <c r="B19" s="57">
        <f>IFERROR(INDEX(Scorecard!$A$5:$A$20,MATCH(6,Scorecard!$V$5:$V$20,0))&amp;"","")</f>
        <v/>
      </c>
      <c r="C19" s="57">
        <f>IFERROR(INDEX(Scorecard!$B$5:$B$20,MATCH(6,Scorecard!$V$5:$V$20,0))&amp;"","")</f>
        <v/>
      </c>
      <c r="D19" s="57">
        <f>IFERROR(INDEX(Scorecard!$C$5:$C$20,MATCH(6,Scorecard!$V$5:$V$20,0))&amp;"","")</f>
        <v/>
      </c>
      <c r="E19" s="68">
        <f>IFERROR(INDEX(Scorecard!$U$5:$U$20,MATCH(6,Scorecard!$V$5:$V$20,0))&amp;"","")</f>
        <v/>
      </c>
      <c r="F19" s="57" t="n"/>
      <c r="G19" s="57" t="n"/>
      <c r="H19" s="57" t="n"/>
    </row>
    <row r="20" ht="30" customHeight="1">
      <c r="A20" s="67" t="n">
        <v>7</v>
      </c>
      <c r="B20" s="57">
        <f>IFERROR(INDEX(Scorecard!$A$5:$A$20,MATCH(7,Scorecard!$V$5:$V$20,0))&amp;"","")</f>
        <v/>
      </c>
      <c r="C20" s="57">
        <f>IFERROR(INDEX(Scorecard!$B$5:$B$20,MATCH(7,Scorecard!$V$5:$V$20,0))&amp;"","")</f>
        <v/>
      </c>
      <c r="D20" s="57">
        <f>IFERROR(INDEX(Scorecard!$C$5:$C$20,MATCH(7,Scorecard!$V$5:$V$20,0))&amp;"","")</f>
        <v/>
      </c>
      <c r="E20" s="68">
        <f>IFERROR(INDEX(Scorecard!$U$5:$U$20,MATCH(7,Scorecard!$V$5:$V$20,0))&amp;"","")</f>
        <v/>
      </c>
      <c r="F20" s="57" t="n"/>
      <c r="G20" s="57" t="n"/>
      <c r="H20" s="57" t="n"/>
    </row>
    <row r="21" ht="30" customHeight="1">
      <c r="A21" s="67" t="n">
        <v>8</v>
      </c>
      <c r="B21" s="57">
        <f>IFERROR(INDEX(Scorecard!$A$5:$A$20,MATCH(8,Scorecard!$V$5:$V$20,0))&amp;"","")</f>
        <v/>
      </c>
      <c r="C21" s="57">
        <f>IFERROR(INDEX(Scorecard!$B$5:$B$20,MATCH(8,Scorecard!$V$5:$V$20,0))&amp;"","")</f>
        <v/>
      </c>
      <c r="D21" s="57">
        <f>IFERROR(INDEX(Scorecard!$C$5:$C$20,MATCH(8,Scorecard!$V$5:$V$20,0))&amp;"","")</f>
        <v/>
      </c>
      <c r="E21" s="68">
        <f>IFERROR(INDEX(Scorecard!$U$5:$U$20,MATCH(8,Scorecard!$V$5:$V$20,0))&amp;"","")</f>
        <v/>
      </c>
      <c r="F21" s="57" t="n"/>
      <c r="G21" s="57" t="n"/>
      <c r="H21" s="57" t="n"/>
    </row>
    <row r="23">
      <c r="A23" s="69" t="inlineStr">
        <is>
          <t>On watch this week</t>
        </is>
      </c>
    </row>
    <row r="24">
      <c r="A24" s="64" t="inlineStr">
        <is>
          <t>#</t>
        </is>
      </c>
      <c r="B24" s="64" t="inlineStr">
        <is>
          <t>Function</t>
        </is>
      </c>
      <c r="C24" s="64" t="inlineStr">
        <is>
          <t>KPI</t>
        </is>
      </c>
      <c r="D24" s="64" t="inlineStr">
        <is>
          <t>Owner</t>
        </is>
      </c>
      <c r="E24" s="64" t="inlineStr">
        <is>
          <t>Comment</t>
        </is>
      </c>
      <c r="F24" s="65" t="n"/>
      <c r="G24" s="65" t="n"/>
      <c r="H24" s="66" t="n"/>
    </row>
    <row r="25" ht="30" customHeight="1">
      <c r="A25" s="67" t="n">
        <v>1</v>
      </c>
      <c r="B25" s="57">
        <f>IFERROR(INDEX(Scorecard!$A$5:$A$20,MATCH(1,Scorecard!$W$5:$W$20,0))&amp;"","")</f>
        <v/>
      </c>
      <c r="C25" s="57">
        <f>IFERROR(INDEX(Scorecard!$B$5:$B$20,MATCH(1,Scorecard!$W$5:$W$20,0))&amp;"","")</f>
        <v/>
      </c>
      <c r="D25" s="57">
        <f>IFERROR(INDEX(Scorecard!$C$5:$C$20,MATCH(1,Scorecard!$W$5:$W$20,0))&amp;"","")</f>
        <v/>
      </c>
      <c r="E25" s="68">
        <f>IFERROR(INDEX(Scorecard!$U$5:$U$20,MATCH(1,Scorecard!$W$5:$W$20,0))&amp;"","")</f>
        <v/>
      </c>
      <c r="F25" s="57" t="n"/>
      <c r="G25" s="57" t="n"/>
      <c r="H25" s="57" t="n"/>
    </row>
    <row r="26" ht="30" customHeight="1">
      <c r="A26" s="67" t="n">
        <v>2</v>
      </c>
      <c r="B26" s="57">
        <f>IFERROR(INDEX(Scorecard!$A$5:$A$20,MATCH(2,Scorecard!$W$5:$W$20,0))&amp;"","")</f>
        <v/>
      </c>
      <c r="C26" s="57">
        <f>IFERROR(INDEX(Scorecard!$B$5:$B$20,MATCH(2,Scorecard!$W$5:$W$20,0))&amp;"","")</f>
        <v/>
      </c>
      <c r="D26" s="57">
        <f>IFERROR(INDEX(Scorecard!$C$5:$C$20,MATCH(2,Scorecard!$W$5:$W$20,0))&amp;"","")</f>
        <v/>
      </c>
      <c r="E26" s="68">
        <f>IFERROR(INDEX(Scorecard!$U$5:$U$20,MATCH(2,Scorecard!$W$5:$W$20,0))&amp;"","")</f>
        <v/>
      </c>
      <c r="F26" s="57" t="n"/>
      <c r="G26" s="57" t="n"/>
      <c r="H26" s="57" t="n"/>
    </row>
    <row r="27" ht="30" customHeight="1">
      <c r="A27" s="67" t="n">
        <v>3</v>
      </c>
      <c r="B27" s="57">
        <f>IFERROR(INDEX(Scorecard!$A$5:$A$20,MATCH(3,Scorecard!$W$5:$W$20,0))&amp;"","")</f>
        <v/>
      </c>
      <c r="C27" s="57">
        <f>IFERROR(INDEX(Scorecard!$B$5:$B$20,MATCH(3,Scorecard!$W$5:$W$20,0))&amp;"","")</f>
        <v/>
      </c>
      <c r="D27" s="57">
        <f>IFERROR(INDEX(Scorecard!$C$5:$C$20,MATCH(3,Scorecard!$W$5:$W$20,0))&amp;"","")</f>
        <v/>
      </c>
      <c r="E27" s="68">
        <f>IFERROR(INDEX(Scorecard!$U$5:$U$20,MATCH(3,Scorecard!$W$5:$W$20,0))&amp;"","")</f>
        <v/>
      </c>
      <c r="F27" s="57" t="n"/>
      <c r="G27" s="57" t="n"/>
      <c r="H27" s="57" t="n"/>
    </row>
    <row r="28" ht="30" customHeight="1">
      <c r="A28" s="67" t="n">
        <v>4</v>
      </c>
      <c r="B28" s="57">
        <f>IFERROR(INDEX(Scorecard!$A$5:$A$20,MATCH(4,Scorecard!$W$5:$W$20,0))&amp;"","")</f>
        <v/>
      </c>
      <c r="C28" s="57">
        <f>IFERROR(INDEX(Scorecard!$B$5:$B$20,MATCH(4,Scorecard!$W$5:$W$20,0))&amp;"","")</f>
        <v/>
      </c>
      <c r="D28" s="57">
        <f>IFERROR(INDEX(Scorecard!$C$5:$C$20,MATCH(4,Scorecard!$W$5:$W$20,0))&amp;"","")</f>
        <v/>
      </c>
      <c r="E28" s="68">
        <f>IFERROR(INDEX(Scorecard!$U$5:$U$20,MATCH(4,Scorecard!$W$5:$W$20,0))&amp;"","")</f>
        <v/>
      </c>
      <c r="F28" s="57" t="n"/>
      <c r="G28" s="57" t="n"/>
      <c r="H28" s="57" t="n"/>
    </row>
    <row r="29" ht="30" customHeight="1">
      <c r="A29" s="67" t="n">
        <v>5</v>
      </c>
      <c r="B29" s="57">
        <f>IFERROR(INDEX(Scorecard!$A$5:$A$20,MATCH(5,Scorecard!$W$5:$W$20,0))&amp;"","")</f>
        <v/>
      </c>
      <c r="C29" s="57">
        <f>IFERROR(INDEX(Scorecard!$B$5:$B$20,MATCH(5,Scorecard!$W$5:$W$20,0))&amp;"","")</f>
        <v/>
      </c>
      <c r="D29" s="57">
        <f>IFERROR(INDEX(Scorecard!$C$5:$C$20,MATCH(5,Scorecard!$W$5:$W$20,0))&amp;"","")</f>
        <v/>
      </c>
      <c r="E29" s="68">
        <f>IFERROR(INDEX(Scorecard!$U$5:$U$20,MATCH(5,Scorecard!$W$5:$W$20,0))&amp;"","")</f>
        <v/>
      </c>
      <c r="F29" s="57" t="n"/>
      <c r="G29" s="57" t="n"/>
      <c r="H29" s="57" t="n"/>
    </row>
    <row r="30" ht="30" customHeight="1">
      <c r="A30" s="67" t="n">
        <v>6</v>
      </c>
      <c r="B30" s="57">
        <f>IFERROR(INDEX(Scorecard!$A$5:$A$20,MATCH(6,Scorecard!$W$5:$W$20,0))&amp;"","")</f>
        <v/>
      </c>
      <c r="C30" s="57">
        <f>IFERROR(INDEX(Scorecard!$B$5:$B$20,MATCH(6,Scorecard!$W$5:$W$20,0))&amp;"","")</f>
        <v/>
      </c>
      <c r="D30" s="57">
        <f>IFERROR(INDEX(Scorecard!$C$5:$C$20,MATCH(6,Scorecard!$W$5:$W$20,0))&amp;"","")</f>
        <v/>
      </c>
      <c r="E30" s="68">
        <f>IFERROR(INDEX(Scorecard!$U$5:$U$20,MATCH(6,Scorecard!$W$5:$W$20,0))&amp;"","")</f>
        <v/>
      </c>
      <c r="F30" s="57" t="n"/>
      <c r="G30" s="57" t="n"/>
      <c r="H30" s="57" t="n"/>
    </row>
    <row r="31" ht="30" customHeight="1">
      <c r="A31" s="67" t="n">
        <v>7</v>
      </c>
      <c r="B31" s="57">
        <f>IFERROR(INDEX(Scorecard!$A$5:$A$20,MATCH(7,Scorecard!$W$5:$W$20,0))&amp;"","")</f>
        <v/>
      </c>
      <c r="C31" s="57">
        <f>IFERROR(INDEX(Scorecard!$B$5:$B$20,MATCH(7,Scorecard!$W$5:$W$20,0))&amp;"","")</f>
        <v/>
      </c>
      <c r="D31" s="57">
        <f>IFERROR(INDEX(Scorecard!$C$5:$C$20,MATCH(7,Scorecard!$W$5:$W$20,0))&amp;"","")</f>
        <v/>
      </c>
      <c r="E31" s="68">
        <f>IFERROR(INDEX(Scorecard!$U$5:$U$20,MATCH(7,Scorecard!$W$5:$W$20,0))&amp;"","")</f>
        <v/>
      </c>
      <c r="F31" s="57" t="n"/>
      <c r="G31" s="57" t="n"/>
      <c r="H31" s="57" t="n"/>
    </row>
    <row r="32" ht="30" customHeight="1">
      <c r="A32" s="67" t="n">
        <v>8</v>
      </c>
      <c r="B32" s="57">
        <f>IFERROR(INDEX(Scorecard!$A$5:$A$20,MATCH(8,Scorecard!$W$5:$W$20,0))&amp;"","")</f>
        <v/>
      </c>
      <c r="C32" s="57">
        <f>IFERROR(INDEX(Scorecard!$B$5:$B$20,MATCH(8,Scorecard!$W$5:$W$20,0))&amp;"","")</f>
        <v/>
      </c>
      <c r="D32" s="57">
        <f>IFERROR(INDEX(Scorecard!$C$5:$C$20,MATCH(8,Scorecard!$W$5:$W$20,0))&amp;"","")</f>
        <v/>
      </c>
      <c r="E32" s="68">
        <f>IFERROR(INDEX(Scorecard!$U$5:$U$20,MATCH(8,Scorecard!$W$5:$W$20,0))&amp;"","")</f>
        <v/>
      </c>
      <c r="F32" s="57" t="n"/>
      <c r="G32" s="57" t="n"/>
      <c r="H32" s="57" t="n"/>
    </row>
  </sheetData>
  <mergeCells count="18">
    <mergeCell ref="E14:H14"/>
    <mergeCell ref="E17:H17"/>
    <mergeCell ref="E18:H18"/>
    <mergeCell ref="E26:H26"/>
    <mergeCell ref="E27:H27"/>
    <mergeCell ref="E31:H31"/>
    <mergeCell ref="E20:H20"/>
    <mergeCell ref="E21:H21"/>
    <mergeCell ref="E16:H16"/>
    <mergeCell ref="E30:H30"/>
    <mergeCell ref="E15:H15"/>
    <mergeCell ref="E29:H29"/>
    <mergeCell ref="E25:H25"/>
    <mergeCell ref="E19:H19"/>
    <mergeCell ref="E32:H32"/>
    <mergeCell ref="E24:H24"/>
    <mergeCell ref="E28:H28"/>
    <mergeCell ref="E13:H13"/>
  </mergeCells>
  <conditionalFormatting sqref="F5:F9">
    <cfRule type="expression" priority="1" dxfId="0">
      <formula>AND(ISNUMBER(F5),F5&gt;=0.75)</formula>
    </cfRule>
    <cfRule type="expression" priority="2" dxfId="1">
      <formula>AND(ISNUMBER(F5),F5&gt;=0.5,F5&lt;0.75)</formula>
    </cfRule>
    <cfRule type="expression" priority="3" dxfId="2">
      <formula>AND(ISNUMBER(F5),F5&lt;0.5)</formula>
    </cfRule>
  </conditionalFormatting>
  <conditionalFormatting sqref="E5:E8">
    <cfRule type="expression" priority="4" dxfId="5">
      <formula>E5&gt;0</formula>
    </cfRule>
  </conditionalFormatting>
  <conditionalFormatting sqref="D5:D8">
    <cfRule type="expression" priority="5" dxfId="6">
      <formula>D5&gt;0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2026-09-30T07:03:26Z</dcterms:created>
  <dcterms:modified xmlns:dcterms="http://purl.org/dc/terms/" xmlns:xsi="http://www.w3.org/2001/XMLSchema-instance" xsi:type="dcterms:W3CDTF">2026-09-30T07:03:26Z</dcterms:modified>
</cp:coreProperties>
</file>