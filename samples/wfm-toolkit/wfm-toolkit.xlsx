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 me" sheetId="1" state="visible" r:id="rId1"/>
    <sheet xmlns:r="http://schemas.openxmlformats.org/officeDocument/2006/relationships" name="Staffing Calculator" sheetId="2" state="visible" r:id="rId2"/>
    <sheet xmlns:r="http://schemas.openxmlformats.org/officeDocument/2006/relationships" name="Intraday RTA" sheetId="3" state="visible" r:id="rId3"/>
    <sheet xmlns:r="http://schemas.openxmlformats.org/officeDocument/2006/relationships" name="Adherence" sheetId="4" state="visible" r:id="rId4"/>
    <sheet xmlns:r="http://schemas.openxmlformats.org/officeDocument/2006/relationships" name="Calc" sheetId="5" state="visible" r:id="rId5"/>
  </sheets>
  <definedNames/>
  <calcPr calcId="124519" fullCalcOnLoad="1"/>
</workbook>
</file>

<file path=xl/styles.xml><?xml version="1.0" encoding="utf-8"?>
<styleSheet xmlns="http://schemas.openxmlformats.org/spreadsheetml/2006/main">
  <numFmts count="7">
    <numFmt numFmtId="164" formatCode="hh:mm"/>
    <numFmt numFmtId="165" formatCode="0.0%"/>
    <numFmt numFmtId="166" formatCode="#,##0.0"/>
    <numFmt numFmtId="167" formatCode="0.0"/>
    <numFmt numFmtId="168" formatCode="+0.0%;-0.0%"/>
    <numFmt numFmtId="169" formatCode="+0%;-0%;0%"/>
    <numFmt numFmtId="170" formatCode="+0;-0;0"/>
  </numFmts>
  <fonts count="8">
    <font>
      <name val="Calibri"/>
      <family val="2"/>
      <color theme="1"/>
      <sz val="11"/>
      <scheme val="minor"/>
    </font>
    <font>
      <name val="Arial"/>
      <b val="1"/>
      <color rgb="001B2A41"/>
      <sz val="16"/>
    </font>
    <font>
      <name val="Arial"/>
      <i val="1"/>
      <color rgb="005B6472"/>
      <sz val="10"/>
    </font>
    <font>
      <name val="Arial"/>
      <b val="1"/>
      <sz val="10"/>
    </font>
    <font>
      <name val="Arial"/>
      <sz val="10"/>
    </font>
    <font>
      <name val="Arial"/>
      <b val="1"/>
      <color rgb="001F4E9E"/>
      <sz val="10"/>
    </font>
    <font>
      <name val="Arial"/>
      <b val="1"/>
      <color rgb="00FFFFFF"/>
      <sz val="10"/>
    </font>
    <font>
      <name val="Arial"/>
      <color rgb="008A919C"/>
      <sz val="10"/>
    </font>
  </fonts>
  <fills count="6">
    <fill>
      <patternFill/>
    </fill>
    <fill>
      <patternFill patternType="gray125"/>
    </fill>
    <fill>
      <patternFill patternType="solid">
        <fgColor rgb="00FFF4CC"/>
      </patternFill>
    </fill>
    <fill>
      <patternFill patternType="solid">
        <fgColor rgb="001B2A41"/>
      </patternFill>
    </fill>
    <fill>
      <patternFill patternType="solid">
        <fgColor rgb="00F4F6F9"/>
      </patternFill>
    </fill>
    <fill>
      <patternFill patternType="solid">
        <fgColor rgb="00EEF4FB"/>
      </patternFill>
    </fill>
  </fills>
  <borders count="2">
    <border>
      <left/>
      <right/>
      <top/>
      <bottom/>
      <diagonal/>
    </border>
    <border>
      <left style="thin">
        <color rgb="00D5D9E0"/>
      </left>
      <right style="thin">
        <color rgb="00D5D9E0"/>
      </right>
      <top style="thin">
        <color rgb="00D5D9E0"/>
      </top>
      <bottom style="thin">
        <color rgb="00D5D9E0"/>
      </bottom>
    </border>
  </borders>
  <cellStyleXfs count="1">
    <xf numFmtId="0" fontId="0" fillId="0" borderId="0"/>
  </cellStyleXfs>
  <cellXfs count="5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3" fillId="0" borderId="0" pivotButton="0" quotePrefix="0" xfId="0"/>
    <xf numFmtId="9" fontId="5" fillId="2" borderId="1" applyAlignment="1" pivotButton="0" quotePrefix="0" xfId="0">
      <alignment horizontal="center"/>
    </xf>
    <xf numFmtId="3" fontId="3" fillId="0" borderId="1" applyAlignment="1" pivotButton="0" quotePrefix="0" xfId="0">
      <alignment horizontal="center"/>
    </xf>
    <xf numFmtId="166" fontId="3" fillId="0" borderId="1" applyAlignment="1" pivotButton="0" quotePrefix="0" xfId="0">
      <alignment horizontal="center"/>
    </xf>
    <xf numFmtId="1" fontId="5" fillId="2" borderId="1" applyAlignment="1" pivotButton="0" quotePrefix="0" xfId="0">
      <alignment horizontal="center"/>
    </xf>
    <xf numFmtId="1" fontId="3" fillId="0" borderId="1" applyAlignment="1" pivotButton="0" quotePrefix="0" xfId="0">
      <alignment horizontal="center"/>
    </xf>
    <xf numFmtId="164" fontId="3" fillId="0" borderId="1" applyAlignment="1" pivotButton="0" quotePrefix="0" xfId="0">
      <alignment horizontal="center"/>
    </xf>
    <xf numFmtId="165" fontId="3" fillId="0" borderId="1" applyAlignment="1" pivotButton="0" quotePrefix="0" xfId="0">
      <alignment horizontal="center"/>
    </xf>
    <xf numFmtId="0" fontId="6" fillId="3" borderId="1" applyAlignment="1" pivotButton="0" quotePrefix="0" xfId="0">
      <alignment horizontal="center" vertical="center" wrapText="1"/>
    </xf>
    <xf numFmtId="164" fontId="4" fillId="0" borderId="1" applyAlignment="1" pivotButton="0" quotePrefix="0" xfId="0">
      <alignment horizontal="center"/>
    </xf>
    <xf numFmtId="2" fontId="4" fillId="0" borderId="1" applyAlignment="1" pivotButton="0" quotePrefix="0" xfId="0">
      <alignment horizontal="center"/>
    </xf>
    <xf numFmtId="165" fontId="4" fillId="0" borderId="1" applyAlignment="1" pivotButton="0" quotePrefix="0" xfId="0">
      <alignment horizontal="center"/>
    </xf>
    <xf numFmtId="167" fontId="4" fillId="0" borderId="1" applyAlignment="1" pivotButton="0" quotePrefix="0" xfId="0">
      <alignment horizontal="center"/>
    </xf>
    <xf numFmtId="1" fontId="4" fillId="0" borderId="1" applyAlignment="1" pivotButton="0" quotePrefix="0" xfId="0">
      <alignment horizontal="center"/>
    </xf>
    <xf numFmtId="164" fontId="4" fillId="4" borderId="1" applyAlignment="1" pivotButton="0" quotePrefix="0" xfId="0">
      <alignment horizontal="center"/>
    </xf>
    <xf numFmtId="2" fontId="4" fillId="4" borderId="1" applyAlignment="1" pivotButton="0" quotePrefix="0" xfId="0">
      <alignment horizontal="center"/>
    </xf>
    <xf numFmtId="1" fontId="3" fillId="4" borderId="1" applyAlignment="1" pivotButton="0" quotePrefix="0" xfId="0">
      <alignment horizontal="center"/>
    </xf>
    <xf numFmtId="165" fontId="4" fillId="4" borderId="1" applyAlignment="1" pivotButton="0" quotePrefix="0" xfId="0">
      <alignment horizontal="center"/>
    </xf>
    <xf numFmtId="167" fontId="4" fillId="4" borderId="1" applyAlignment="1" pivotButton="0" quotePrefix="0" xfId="0">
      <alignment horizontal="center"/>
    </xf>
    <xf numFmtId="1" fontId="4" fillId="4" borderId="1" applyAlignment="1" pivotButton="0" quotePrefix="0" xfId="0">
      <alignment horizontal="center"/>
    </xf>
    <xf numFmtId="9" fontId="3" fillId="0" borderId="1" applyAlignment="1" pivotButton="0" quotePrefix="0" xfId="0">
      <alignment horizontal="center"/>
    </xf>
    <xf numFmtId="168" fontId="3" fillId="0" borderId="1" applyAlignment="1" pivotButton="0" quotePrefix="0" xfId="0">
      <alignment horizontal="center"/>
    </xf>
    <xf numFmtId="1" fontId="4" fillId="5" borderId="1" applyAlignment="1" pivotButton="0" quotePrefix="0" xfId="0">
      <alignment horizontal="center"/>
    </xf>
    <xf numFmtId="169" fontId="4" fillId="0" borderId="1" applyAlignment="1" pivotButton="0" quotePrefix="0" xfId="0">
      <alignment horizontal="center"/>
    </xf>
    <xf numFmtId="170" fontId="4" fillId="0" borderId="1" applyAlignment="1" pivotButton="0" quotePrefix="0" xfId="0">
      <alignment horizontal="center"/>
    </xf>
    <xf numFmtId="165" fontId="4" fillId="5" borderId="1" applyAlignment="1" pivotButton="0" quotePrefix="0" xfId="0">
      <alignment horizontal="center"/>
    </xf>
    <xf numFmtId="0" fontId="4" fillId="0" borderId="1" applyAlignment="1" pivotButton="0" quotePrefix="0" xfId="0">
      <alignment horizontal="center"/>
    </xf>
    <xf numFmtId="0" fontId="4" fillId="0" borderId="1" applyAlignment="1" pivotButton="0" quotePrefix="0" xfId="0">
      <alignment horizontal="left"/>
    </xf>
    <xf numFmtId="169" fontId="4" fillId="4" borderId="1" applyAlignment="1" pivotButton="0" quotePrefix="0" xfId="0">
      <alignment horizontal="center"/>
    </xf>
    <xf numFmtId="170" fontId="4" fillId="4" borderId="1" applyAlignment="1" pivotButton="0" quotePrefix="0" xfId="0">
      <alignment horizontal="center"/>
    </xf>
    <xf numFmtId="0" fontId="4" fillId="4" borderId="1" applyAlignment="1" pivotButton="0" quotePrefix="0" xfId="0">
      <alignment horizontal="center"/>
    </xf>
    <xf numFmtId="0" fontId="4" fillId="4" borderId="1" applyAlignment="1" pivotButton="0" quotePrefix="0" xfId="0">
      <alignment horizontal="left"/>
    </xf>
    <xf numFmtId="164" fontId="7" fillId="4" borderId="1" applyAlignment="1" pivotButton="0" quotePrefix="0" xfId="0">
      <alignment horizontal="center"/>
    </xf>
    <xf numFmtId="1" fontId="7" fillId="4" borderId="1" applyAlignment="1" pivotButton="0" quotePrefix="0" xfId="0">
      <alignment horizontal="center"/>
    </xf>
    <xf numFmtId="169" fontId="7" fillId="4" borderId="1" applyAlignment="1" pivotButton="0" quotePrefix="0" xfId="0">
      <alignment horizontal="center"/>
    </xf>
    <xf numFmtId="170" fontId="7" fillId="4" borderId="1" applyAlignment="1" pivotButton="0" quotePrefix="0" xfId="0">
      <alignment horizontal="center"/>
    </xf>
    <xf numFmtId="165" fontId="7" fillId="4" borderId="1" applyAlignment="1" pivotButton="0" quotePrefix="0" xfId="0">
      <alignment horizontal="center"/>
    </xf>
    <xf numFmtId="0" fontId="7" fillId="4" borderId="1" applyAlignment="1" pivotButton="0" quotePrefix="0" xfId="0">
      <alignment horizontal="center"/>
    </xf>
    <xf numFmtId="0" fontId="7" fillId="4" borderId="1" applyAlignment="1" pivotButton="0" quotePrefix="0" xfId="0">
      <alignment horizontal="left"/>
    </xf>
    <xf numFmtId="164" fontId="7" fillId="0" borderId="1" applyAlignment="1" pivotButton="0" quotePrefix="0" xfId="0">
      <alignment horizontal="center"/>
    </xf>
    <xf numFmtId="1" fontId="7" fillId="0" borderId="1" applyAlignment="1" pivotButton="0" quotePrefix="0" xfId="0">
      <alignment horizontal="center"/>
    </xf>
    <xf numFmtId="169" fontId="7" fillId="0" borderId="1" applyAlignment="1" pivotButton="0" quotePrefix="0" xfId="0">
      <alignment horizontal="center"/>
    </xf>
    <xf numFmtId="170" fontId="7" fillId="0" borderId="1" applyAlignment="1" pivotButton="0" quotePrefix="0" xfId="0">
      <alignment horizontal="center"/>
    </xf>
    <xf numFmtId="165" fontId="7" fillId="0" borderId="1" applyAlignment="1" pivotButton="0" quotePrefix="0" xfId="0">
      <alignment horizontal="center"/>
    </xf>
    <xf numFmtId="0" fontId="7" fillId="0" borderId="1" applyAlignment="1" pivotButton="0" quotePrefix="0" xfId="0">
      <alignment horizontal="center"/>
    </xf>
    <xf numFmtId="0" fontId="7" fillId="0" borderId="1" applyAlignment="1" pivotButton="0" quotePrefix="0" xfId="0">
      <alignment horizontal="left"/>
    </xf>
    <xf numFmtId="0" fontId="4" fillId="5" borderId="1" applyAlignment="1" pivotButton="0" quotePrefix="0" xfId="0">
      <alignment horizontal="center"/>
    </xf>
    <xf numFmtId="0" fontId="6" fillId="3" borderId="0" pivotButton="0" quotePrefix="0" xfId="0"/>
    <xf numFmtId="0" fontId="6" fillId="3" borderId="0" applyAlignment="1" pivotButton="0" quotePrefix="0" xfId="0">
      <alignment horizontal="center"/>
    </xf>
    <xf numFmtId="164" fontId="0" fillId="0" borderId="0" pivotButton="0" quotePrefix="0" xfId="0"/>
    <xf numFmtId="2" fontId="0" fillId="0" borderId="0" pivotButton="0" quotePrefix="0" xfId="0"/>
    <xf numFmtId="9" fontId="0" fillId="0" borderId="0" pivotButton="0" quotePrefix="0" xfId="0"/>
  </cellXfs>
  <cellStyles count="1">
    <cellStyle name="Normal" xfId="0" builtinId="0" hidden="0"/>
  </cellStyles>
  <dxfs count="3">
    <dxf>
      <fill>
        <patternFill patternType="solid">
          <fgColor rgb="00F8D4D4"/>
        </patternFill>
      </fill>
    </dxf>
    <dxf>
      <fill>
        <patternFill patternType="solid">
          <fgColor rgb="00D8F0DF"/>
        </patternFill>
      </fill>
    </dxf>
    <dxf>
      <fill>
        <patternFill patternType="solid">
          <fgColor rgb="00FCEB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Agents required by interval</a:t>
            </a:r>
          </a:p>
        </rich>
      </tx>
    </title>
    <plotArea>
      <barChart>
        <barDir val="col"/>
        <grouping val="clustered"/>
        <ser>
          <idx val="0"/>
          <order val="0"/>
          <tx>
            <strRef>
              <f>'Staffing Calculator'!D10</f>
            </strRef>
          </tx>
          <spPr>
            <a:solidFill xmlns:a="http://schemas.openxmlformats.org/drawingml/2006/main">
              <a:srgbClr val="2A78D6"/>
            </a:solidFill>
            <a:ln xmlns:a="http://schemas.openxmlformats.org/drawingml/2006/main">
              <a:noFill/>
              <a:prstDash val="solid"/>
            </a:ln>
          </spPr>
          <cat>
            <numRef>
              <f>'Staffing Calculator'!$A$11:$A$40</f>
            </numRef>
          </cat>
          <val>
            <numRef>
              <f>'Staffing Calculator'!$D$11:$D$40</f>
            </numRef>
          </val>
        </ser>
        <gapWidth val="40"/>
        <axId val="10"/>
        <axId val="100"/>
      </barChart>
      <catAx>
        <axId val="10"/>
        <scaling>
          <orientation val="minMax"/>
        </scaling>
        <delete val="0"/>
        <axPos val="l"/>
        <numFmt formatCode="hh:mm" sourceLinked="0"/>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Agents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0</colOff>
      <row>9</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4" customWidth="1" min="1" max="1"/>
    <col width="96" customWidth="1" min="2" max="2"/>
  </cols>
  <sheetData>
    <row r="1">
      <c r="A1" s="1" t="inlineStr">
        <is>
          <t>Harbor &amp; Pine Co. | Customer Care WFM Toolkit</t>
        </is>
      </c>
    </row>
    <row r="2">
      <c r="A2" s="2" t="inlineStr">
        <is>
          <t>Sample workbook built by Jastin Tucay. Harbor &amp; Pine Co. is a fictional company and every number here is synthetic.</t>
        </is>
      </c>
    </row>
    <row r="3"/>
    <row r="4">
      <c r="A4" s="3" t="inlineStr">
        <is>
          <t>What this is</t>
        </is>
      </c>
      <c r="B4" s="4" t="inlineStr">
        <is>
          <t>A small workforce management kit for a 25-person care team (phones and chat, Melbourne and Manila). It turns a call forecast into staffing needs, tracks the day in real time and checks schedule adherence.</t>
        </is>
      </c>
    </row>
    <row r="5">
      <c r="A5" s="3" t="inlineStr"/>
      <c r="B5" s="4" t="inlineStr"/>
    </row>
    <row r="6">
      <c r="A6" s="3" t="inlineStr">
        <is>
          <t>Staffing Calculator</t>
        </is>
      </c>
      <c r="B6" s="4" t="inlineStr">
        <is>
          <t>Edit the yellow cells: service level target, answer time, AHT, shrinkage, max occupancy and the calls per 30-minute interval. Every blue-grey column recalculates: workload in Erlangs, agents required (Erlang C), expected service level, average speed of answer, occupancy and scheduled heads.</t>
        </is>
      </c>
    </row>
    <row r="7">
      <c r="A7" s="3" t="inlineStr">
        <is>
          <t>Intraday RTA</t>
        </is>
      </c>
      <c r="B7" s="4" t="inlineStr">
        <is>
          <t>A real-time snapshot of Monday 5 Oct 2026 at 15:30 AEST. Forecast and required agents come from the calculator; actuals are pasted from the phone system. Variance, staffing gap and status update automatically, and the Action column logs what the real-time analyst did about it.</t>
        </is>
      </c>
    </row>
    <row r="8">
      <c r="A8" s="3" t="inlineStr">
        <is>
          <t>Adherence</t>
        </is>
      </c>
      <c r="B8" s="4" t="inlineStr">
        <is>
          <t>Schedule adherence and conformance for 20 agents on the same day, with RAG flags and the main exception.</t>
        </is>
      </c>
    </row>
    <row r="9">
      <c r="A9" s="3" t="inlineStr">
        <is>
          <t>Calc</t>
        </is>
      </c>
      <c r="B9" s="4" t="inlineStr">
        <is>
          <t>Helper grid for the calculator. Each row is an interval, each column a possible agent count (1 to 60), and each cell is the service level that many agents would reach. Nothing to edit here.</t>
        </is>
      </c>
    </row>
    <row r="10">
      <c r="A10" s="3" t="inlineStr"/>
      <c r="B10" s="4" t="inlineStr"/>
    </row>
    <row r="11">
      <c r="A11" s="3" t="inlineStr">
        <is>
          <t>How agents are found</t>
        </is>
      </c>
      <c r="B11" s="4" t="inlineStr">
        <is>
          <t>Required agents = the smallest agent count whose service level meets the target and whose occupancy stays under the cap (MINIFS over the Calc grid).</t>
        </is>
      </c>
    </row>
    <row r="12">
      <c r="A12" s="3" t="inlineStr">
        <is>
          <t>Erlang C</t>
        </is>
      </c>
      <c r="B12" s="4" t="inlineStr">
        <is>
          <t>C = P(N,A) / (P(N,A) + (1 - A/N) x POISSON.DIST(N-1, A, TRUE)), where P(N,A) = POISSON.DIST(N, A, FALSE)</t>
        </is>
      </c>
    </row>
    <row r="13">
      <c r="A13" s="3" t="inlineStr">
        <is>
          <t>Service level</t>
        </is>
      </c>
      <c r="B13" s="4" t="inlineStr">
        <is>
          <t>SL = 1 - C x EXP(-(N - A) x target seconds / AHT)</t>
        </is>
      </c>
    </row>
    <row r="14">
      <c r="A14" s="3" t="inlineStr">
        <is>
          <t>ASA</t>
        </is>
      </c>
      <c r="B14" s="4" t="inlineStr">
        <is>
          <t>ASA = C x AHT / (N - A)</t>
        </is>
      </c>
    </row>
    <row r="15">
      <c r="A15" s="3" t="inlineStr">
        <is>
          <t>Workload</t>
        </is>
      </c>
      <c r="B15" s="4" t="inlineStr">
        <is>
          <t>A (Erlangs) = calls x AHT / 1800 seconds</t>
        </is>
      </c>
    </row>
    <row r="16">
      <c r="A16" s="3" t="inlineStr"/>
      <c r="B16" s="4" t="inlineStr"/>
    </row>
    <row r="17">
      <c r="A17" s="3" t="inlineStr">
        <is>
          <t>Colour key</t>
        </is>
      </c>
      <c r="B17" s="4" t="inlineStr">
        <is>
          <t>Yellow = input you can change. Light blue = data pasted from a system. Green / amber / red = on track / watch / act.</t>
        </is>
      </c>
    </row>
    <row r="18">
      <c r="A18" s="3" t="inlineStr">
        <is>
          <t>Limits</t>
        </is>
      </c>
      <c r="B18" s="4" t="inlineStr">
        <is>
          <t>Erlang C assumes callers never hang up, so it slightly overstates the agents you need. The grid covers up to 60 agents per interval (about 280 calls per half hour at the default settings).</t>
        </is>
      </c>
    </row>
    <row r="19">
      <c r="A19" s="3" t="inlineStr">
        <is>
          <t>Works in</t>
        </is>
      </c>
      <c r="B19" s="4" t="inlineStr">
        <is>
          <t>Microsoft Excel 2019 or later and Google Sheets (File &gt; Import).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showGridLines="0" tabSelected="1" workbookViewId="0">
      <pane xSplit="1" ySplit="10" topLeftCell="B11"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20" customWidth="1" min="4" max="4"/>
    <col width="14" customWidth="1" min="5" max="5"/>
    <col width="18" customWidth="1" min="6" max="6"/>
    <col width="14" customWidth="1" min="7" max="7"/>
    <col width="16" customWidth="1" min="8" max="8"/>
    <col width="14" customWidth="1" min="9" max="9"/>
  </cols>
  <sheetData>
    <row r="1">
      <c r="A1" s="1" t="inlineStr">
        <is>
          <t>Staffing Calculator | Monday phone queue</t>
        </is>
      </c>
    </row>
    <row r="2">
      <c r="A2" s="2" t="inlineStr">
        <is>
          <t>Erlang C staffing by 30-minute interval, 07:00 to 22:00 AEST. Change the yellow cells.</t>
        </is>
      </c>
    </row>
    <row r="3"/>
    <row r="4">
      <c r="A4" s="5" t="inlineStr">
        <is>
          <t>Service level target</t>
        </is>
      </c>
      <c r="B4" s="6" t="n">
        <v>0.8</v>
      </c>
      <c r="E4" s="5" t="inlineStr">
        <is>
          <t>Daily calls</t>
        </is>
      </c>
      <c r="F4" s="7">
        <f>SUM(B11:B40)</f>
        <v/>
      </c>
      <c r="H4" s="5" t="inlineStr">
        <is>
          <t>Agent-hours required</t>
        </is>
      </c>
      <c r="I4" s="8">
        <f>SUM(D11:D40)/2</f>
        <v/>
      </c>
    </row>
    <row r="5">
      <c r="A5" s="5" t="inlineStr">
        <is>
          <t>Answer within (sec)</t>
        </is>
      </c>
      <c r="B5" s="9" t="n">
        <v>20</v>
      </c>
      <c r="E5" s="5" t="inlineStr">
        <is>
          <t>Peak agents required</t>
        </is>
      </c>
      <c r="F5" s="10">
        <f>MAX(D11:D40)</f>
        <v/>
      </c>
      <c r="H5" s="5" t="inlineStr">
        <is>
          <t>Scheduled hours</t>
        </is>
      </c>
      <c r="I5" s="8">
        <f>SUM(H11:H40)/2</f>
        <v/>
      </c>
    </row>
    <row r="6">
      <c r="A6" s="5" t="inlineStr">
        <is>
          <t>AHT (sec)</t>
        </is>
      </c>
      <c r="B6" s="9" t="n">
        <v>330</v>
      </c>
      <c r="E6" s="5" t="inlineStr">
        <is>
          <t>Peak interval</t>
        </is>
      </c>
      <c r="F6" s="11">
        <f>INDEX(A11:A40,MATCH(F5,D11:D40,0))</f>
        <v/>
      </c>
      <c r="H6" s="5" t="inlineStr">
        <is>
          <t>Average occupancy</t>
        </is>
      </c>
      <c r="I6" s="12">
        <f>SUM(C11:C40)/SUM(D11:D40)</f>
        <v/>
      </c>
    </row>
    <row r="7">
      <c r="A7" s="5" t="inlineStr">
        <is>
          <t>Shrinkage</t>
        </is>
      </c>
      <c r="B7" s="6" t="n">
        <v>0.3</v>
      </c>
      <c r="E7" s="5" t="inlineStr">
        <is>
          <t>Forecast daily SL</t>
        </is>
      </c>
      <c r="F7" s="12">
        <f>SUMPRODUCT(B11:B40,E11:E40)/SUM(B11:B40)</f>
        <v/>
      </c>
    </row>
    <row r="8">
      <c r="A8" s="5" t="inlineStr">
        <is>
          <t>Max occupancy</t>
        </is>
      </c>
      <c r="B8" s="6" t="n">
        <v>0.85</v>
      </c>
    </row>
    <row r="9"/>
    <row r="10" ht="32" customHeight="1">
      <c r="A10" s="13" t="inlineStr">
        <is>
          <t>Interval</t>
        </is>
      </c>
      <c r="B10" s="13" t="inlineStr">
        <is>
          <t>Forecast calls</t>
        </is>
      </c>
      <c r="C10" s="13" t="inlineStr">
        <is>
          <t>Workload (Erlangs)</t>
        </is>
      </c>
      <c r="D10" s="13" t="inlineStr">
        <is>
          <t>Agents required</t>
        </is>
      </c>
      <c r="E10" s="13" t="inlineStr">
        <is>
          <t>Expected SL</t>
        </is>
      </c>
      <c r="F10" s="13" t="inlineStr">
        <is>
          <t>ASA (sec)</t>
        </is>
      </c>
      <c r="G10" s="13" t="inlineStr">
        <is>
          <t>Occupancy</t>
        </is>
      </c>
      <c r="H10" s="13" t="inlineStr">
        <is>
          <t>Scheduled heads</t>
        </is>
      </c>
    </row>
    <row r="11">
      <c r="A11" s="14" t="n">
        <v>0.2916666666666667</v>
      </c>
      <c r="B11" s="9" t="n">
        <v>14</v>
      </c>
      <c r="C11" s="15">
        <f>B11*$B$6/1800</f>
        <v/>
      </c>
      <c r="D11" s="10">
        <f>IF(C11=0,0,_xlfn.MINIFS(Calc!$C$1:$BJ$1,Calc!$C11:$BJ11,"&gt;="&amp;$B$4,Calc!$C$1:$BJ$1,"&gt;="&amp;C11/$B$8))</f>
        <v/>
      </c>
      <c r="E11" s="16">
        <f>IF(D11=0,1,INDEX(Calc!$C11:$BJ11,D11))</f>
        <v/>
      </c>
      <c r="F11" s="17">
        <f>IF(D11=0,0,_xlfn.POISSON.DIST(D11,C11,FALSE)/(_xlfn.POISSON.DIST(D11,C11,FALSE)+(1-C11/D11)*_xlfn.POISSON.DIST(D11-1,C11,TRUE))*$B$6/(D11-C11))</f>
        <v/>
      </c>
      <c r="G11" s="16">
        <f>IF(D11=0,0,C11/D11)</f>
        <v/>
      </c>
      <c r="H11" s="18">
        <f>ROUNDUP(D11/(1-$B$7),0)</f>
        <v/>
      </c>
    </row>
    <row r="12">
      <c r="A12" s="19" t="n">
        <v>0.3125</v>
      </c>
      <c r="B12" s="9" t="n">
        <v>22</v>
      </c>
      <c r="C12" s="20">
        <f>B12*$B$6/1800</f>
        <v/>
      </c>
      <c r="D12" s="21">
        <f>IF(C12=0,0,_xlfn.MINIFS(Calc!$C$1:$BJ$1,Calc!$C12:$BJ12,"&gt;="&amp;$B$4,Calc!$C$1:$BJ$1,"&gt;="&amp;C12/$B$8))</f>
        <v/>
      </c>
      <c r="E12" s="22">
        <f>IF(D12=0,1,INDEX(Calc!$C12:$BJ12,D12))</f>
        <v/>
      </c>
      <c r="F12" s="23">
        <f>IF(D12=0,0,_xlfn.POISSON.DIST(D12,C12,FALSE)/(_xlfn.POISSON.DIST(D12,C12,FALSE)+(1-C12/D12)*_xlfn.POISSON.DIST(D12-1,C12,TRUE))*$B$6/(D12-C12))</f>
        <v/>
      </c>
      <c r="G12" s="22">
        <f>IF(D12=0,0,C12/D12)</f>
        <v/>
      </c>
      <c r="H12" s="24">
        <f>ROUNDUP(D12/(1-$B$7),0)</f>
        <v/>
      </c>
    </row>
    <row r="13">
      <c r="A13" s="14" t="n">
        <v>0.3333333333333333</v>
      </c>
      <c r="B13" s="9" t="n">
        <v>34</v>
      </c>
      <c r="C13" s="15">
        <f>B13*$B$6/1800</f>
        <v/>
      </c>
      <c r="D13" s="10">
        <f>IF(C13=0,0,_xlfn.MINIFS(Calc!$C$1:$BJ$1,Calc!$C13:$BJ13,"&gt;="&amp;$B$4,Calc!$C$1:$BJ$1,"&gt;="&amp;C13/$B$8))</f>
        <v/>
      </c>
      <c r="E13" s="16">
        <f>IF(D13=0,1,INDEX(Calc!$C13:$BJ13,D13))</f>
        <v/>
      </c>
      <c r="F13" s="17">
        <f>IF(D13=0,0,_xlfn.POISSON.DIST(D13,C13,FALSE)/(_xlfn.POISSON.DIST(D13,C13,FALSE)+(1-C13/D13)*_xlfn.POISSON.DIST(D13-1,C13,TRUE))*$B$6/(D13-C13))</f>
        <v/>
      </c>
      <c r="G13" s="16">
        <f>IF(D13=0,0,C13/D13)</f>
        <v/>
      </c>
      <c r="H13" s="18">
        <f>ROUNDUP(D13/(1-$B$7),0)</f>
        <v/>
      </c>
    </row>
    <row r="14">
      <c r="A14" s="19" t="n">
        <v>0.3541666666666667</v>
      </c>
      <c r="B14" s="9" t="n">
        <v>46</v>
      </c>
      <c r="C14" s="20">
        <f>B14*$B$6/1800</f>
        <v/>
      </c>
      <c r="D14" s="21">
        <f>IF(C14=0,0,_xlfn.MINIFS(Calc!$C$1:$BJ$1,Calc!$C14:$BJ14,"&gt;="&amp;$B$4,Calc!$C$1:$BJ$1,"&gt;="&amp;C14/$B$8))</f>
        <v/>
      </c>
      <c r="E14" s="22">
        <f>IF(D14=0,1,INDEX(Calc!$C14:$BJ14,D14))</f>
        <v/>
      </c>
      <c r="F14" s="23">
        <f>IF(D14=0,0,_xlfn.POISSON.DIST(D14,C14,FALSE)/(_xlfn.POISSON.DIST(D14,C14,FALSE)+(1-C14/D14)*_xlfn.POISSON.DIST(D14-1,C14,TRUE))*$B$6/(D14-C14))</f>
        <v/>
      </c>
      <c r="G14" s="22">
        <f>IF(D14=0,0,C14/D14)</f>
        <v/>
      </c>
      <c r="H14" s="24">
        <f>ROUNDUP(D14/(1-$B$7),0)</f>
        <v/>
      </c>
    </row>
    <row r="15">
      <c r="A15" s="14" t="n">
        <v>0.375</v>
      </c>
      <c r="B15" s="9" t="n">
        <v>58</v>
      </c>
      <c r="C15" s="15">
        <f>B15*$B$6/1800</f>
        <v/>
      </c>
      <c r="D15" s="10">
        <f>IF(C15=0,0,_xlfn.MINIFS(Calc!$C$1:$BJ$1,Calc!$C15:$BJ15,"&gt;="&amp;$B$4,Calc!$C$1:$BJ$1,"&gt;="&amp;C15/$B$8))</f>
        <v/>
      </c>
      <c r="E15" s="16">
        <f>IF(D15=0,1,INDEX(Calc!$C15:$BJ15,D15))</f>
        <v/>
      </c>
      <c r="F15" s="17">
        <f>IF(D15=0,0,_xlfn.POISSON.DIST(D15,C15,FALSE)/(_xlfn.POISSON.DIST(D15,C15,FALSE)+(1-C15/D15)*_xlfn.POISSON.DIST(D15-1,C15,TRUE))*$B$6/(D15-C15))</f>
        <v/>
      </c>
      <c r="G15" s="16">
        <f>IF(D15=0,0,C15/D15)</f>
        <v/>
      </c>
      <c r="H15" s="18">
        <f>ROUNDUP(D15/(1-$B$7),0)</f>
        <v/>
      </c>
    </row>
    <row r="16">
      <c r="A16" s="19" t="n">
        <v>0.3958333333333333</v>
      </c>
      <c r="B16" s="9" t="n">
        <v>66</v>
      </c>
      <c r="C16" s="20">
        <f>B16*$B$6/1800</f>
        <v/>
      </c>
      <c r="D16" s="21">
        <f>IF(C16=0,0,_xlfn.MINIFS(Calc!$C$1:$BJ$1,Calc!$C16:$BJ16,"&gt;="&amp;$B$4,Calc!$C$1:$BJ$1,"&gt;="&amp;C16/$B$8))</f>
        <v/>
      </c>
      <c r="E16" s="22">
        <f>IF(D16=0,1,INDEX(Calc!$C16:$BJ16,D16))</f>
        <v/>
      </c>
      <c r="F16" s="23">
        <f>IF(D16=0,0,_xlfn.POISSON.DIST(D16,C16,FALSE)/(_xlfn.POISSON.DIST(D16,C16,FALSE)+(1-C16/D16)*_xlfn.POISSON.DIST(D16-1,C16,TRUE))*$B$6/(D16-C16))</f>
        <v/>
      </c>
      <c r="G16" s="22">
        <f>IF(D16=0,0,C16/D16)</f>
        <v/>
      </c>
      <c r="H16" s="24">
        <f>ROUNDUP(D16/(1-$B$7),0)</f>
        <v/>
      </c>
    </row>
    <row r="17">
      <c r="A17" s="14" t="n">
        <v>0.4166666666666667</v>
      </c>
      <c r="B17" s="9" t="n">
        <v>70</v>
      </c>
      <c r="C17" s="15">
        <f>B17*$B$6/1800</f>
        <v/>
      </c>
      <c r="D17" s="10">
        <f>IF(C17=0,0,_xlfn.MINIFS(Calc!$C$1:$BJ$1,Calc!$C17:$BJ17,"&gt;="&amp;$B$4,Calc!$C$1:$BJ$1,"&gt;="&amp;C17/$B$8))</f>
        <v/>
      </c>
      <c r="E17" s="16">
        <f>IF(D17=0,1,INDEX(Calc!$C17:$BJ17,D17))</f>
        <v/>
      </c>
      <c r="F17" s="17">
        <f>IF(D17=0,0,_xlfn.POISSON.DIST(D17,C17,FALSE)/(_xlfn.POISSON.DIST(D17,C17,FALSE)+(1-C17/D17)*_xlfn.POISSON.DIST(D17-1,C17,TRUE))*$B$6/(D17-C17))</f>
        <v/>
      </c>
      <c r="G17" s="16">
        <f>IF(D17=0,0,C17/D17)</f>
        <v/>
      </c>
      <c r="H17" s="18">
        <f>ROUNDUP(D17/(1-$B$7),0)</f>
        <v/>
      </c>
    </row>
    <row r="18">
      <c r="A18" s="19" t="n">
        <v>0.4375</v>
      </c>
      <c r="B18" s="9" t="n">
        <v>68</v>
      </c>
      <c r="C18" s="20">
        <f>B18*$B$6/1800</f>
        <v/>
      </c>
      <c r="D18" s="21">
        <f>IF(C18=0,0,_xlfn.MINIFS(Calc!$C$1:$BJ$1,Calc!$C18:$BJ18,"&gt;="&amp;$B$4,Calc!$C$1:$BJ$1,"&gt;="&amp;C18/$B$8))</f>
        <v/>
      </c>
      <c r="E18" s="22">
        <f>IF(D18=0,1,INDEX(Calc!$C18:$BJ18,D18))</f>
        <v/>
      </c>
      <c r="F18" s="23">
        <f>IF(D18=0,0,_xlfn.POISSON.DIST(D18,C18,FALSE)/(_xlfn.POISSON.DIST(D18,C18,FALSE)+(1-C18/D18)*_xlfn.POISSON.DIST(D18-1,C18,TRUE))*$B$6/(D18-C18))</f>
        <v/>
      </c>
      <c r="G18" s="22">
        <f>IF(D18=0,0,C18/D18)</f>
        <v/>
      </c>
      <c r="H18" s="24">
        <f>ROUNDUP(D18/(1-$B$7),0)</f>
        <v/>
      </c>
    </row>
    <row r="19">
      <c r="A19" s="14" t="n">
        <v>0.4583333333333333</v>
      </c>
      <c r="B19" s="9" t="n">
        <v>62</v>
      </c>
      <c r="C19" s="15">
        <f>B19*$B$6/1800</f>
        <v/>
      </c>
      <c r="D19" s="10">
        <f>IF(C19=0,0,_xlfn.MINIFS(Calc!$C$1:$BJ$1,Calc!$C19:$BJ19,"&gt;="&amp;$B$4,Calc!$C$1:$BJ$1,"&gt;="&amp;C19/$B$8))</f>
        <v/>
      </c>
      <c r="E19" s="16">
        <f>IF(D19=0,1,INDEX(Calc!$C19:$BJ19,D19))</f>
        <v/>
      </c>
      <c r="F19" s="17">
        <f>IF(D19=0,0,_xlfn.POISSON.DIST(D19,C19,FALSE)/(_xlfn.POISSON.DIST(D19,C19,FALSE)+(1-C19/D19)*_xlfn.POISSON.DIST(D19-1,C19,TRUE))*$B$6/(D19-C19))</f>
        <v/>
      </c>
      <c r="G19" s="16">
        <f>IF(D19=0,0,C19/D19)</f>
        <v/>
      </c>
      <c r="H19" s="18">
        <f>ROUNDUP(D19/(1-$B$7),0)</f>
        <v/>
      </c>
    </row>
    <row r="20">
      <c r="A20" s="19" t="n">
        <v>0.4791666666666667</v>
      </c>
      <c r="B20" s="9" t="n">
        <v>56</v>
      </c>
      <c r="C20" s="20">
        <f>B20*$B$6/1800</f>
        <v/>
      </c>
      <c r="D20" s="21">
        <f>IF(C20=0,0,_xlfn.MINIFS(Calc!$C$1:$BJ$1,Calc!$C20:$BJ20,"&gt;="&amp;$B$4,Calc!$C$1:$BJ$1,"&gt;="&amp;C20/$B$8))</f>
        <v/>
      </c>
      <c r="E20" s="22">
        <f>IF(D20=0,1,INDEX(Calc!$C20:$BJ20,D20))</f>
        <v/>
      </c>
      <c r="F20" s="23">
        <f>IF(D20=0,0,_xlfn.POISSON.DIST(D20,C20,FALSE)/(_xlfn.POISSON.DIST(D20,C20,FALSE)+(1-C20/D20)*_xlfn.POISSON.DIST(D20-1,C20,TRUE))*$B$6/(D20-C20))</f>
        <v/>
      </c>
      <c r="G20" s="22">
        <f>IF(D20=0,0,C20/D20)</f>
        <v/>
      </c>
      <c r="H20" s="24">
        <f>ROUNDUP(D20/(1-$B$7),0)</f>
        <v/>
      </c>
    </row>
    <row r="21">
      <c r="A21" s="14" t="n">
        <v>0.5</v>
      </c>
      <c r="B21" s="9" t="n">
        <v>52</v>
      </c>
      <c r="C21" s="15">
        <f>B21*$B$6/1800</f>
        <v/>
      </c>
      <c r="D21" s="10">
        <f>IF(C21=0,0,_xlfn.MINIFS(Calc!$C$1:$BJ$1,Calc!$C21:$BJ21,"&gt;="&amp;$B$4,Calc!$C$1:$BJ$1,"&gt;="&amp;C21/$B$8))</f>
        <v/>
      </c>
      <c r="E21" s="16">
        <f>IF(D21=0,1,INDEX(Calc!$C21:$BJ21,D21))</f>
        <v/>
      </c>
      <c r="F21" s="17">
        <f>IF(D21=0,0,_xlfn.POISSON.DIST(D21,C21,FALSE)/(_xlfn.POISSON.DIST(D21,C21,FALSE)+(1-C21/D21)*_xlfn.POISSON.DIST(D21-1,C21,TRUE))*$B$6/(D21-C21))</f>
        <v/>
      </c>
      <c r="G21" s="16">
        <f>IF(D21=0,0,C21/D21)</f>
        <v/>
      </c>
      <c r="H21" s="18">
        <f>ROUNDUP(D21/(1-$B$7),0)</f>
        <v/>
      </c>
    </row>
    <row r="22">
      <c r="A22" s="19" t="n">
        <v>0.5208333333333334</v>
      </c>
      <c r="B22" s="9" t="n">
        <v>57</v>
      </c>
      <c r="C22" s="20">
        <f>B22*$B$6/1800</f>
        <v/>
      </c>
      <c r="D22" s="21">
        <f>IF(C22=0,0,_xlfn.MINIFS(Calc!$C$1:$BJ$1,Calc!$C22:$BJ22,"&gt;="&amp;$B$4,Calc!$C$1:$BJ$1,"&gt;="&amp;C22/$B$8))</f>
        <v/>
      </c>
      <c r="E22" s="22">
        <f>IF(D22=0,1,INDEX(Calc!$C22:$BJ22,D22))</f>
        <v/>
      </c>
      <c r="F22" s="23">
        <f>IF(D22=0,0,_xlfn.POISSON.DIST(D22,C22,FALSE)/(_xlfn.POISSON.DIST(D22,C22,FALSE)+(1-C22/D22)*_xlfn.POISSON.DIST(D22-1,C22,TRUE))*$B$6/(D22-C22))</f>
        <v/>
      </c>
      <c r="G22" s="22">
        <f>IF(D22=0,0,C22/D22)</f>
        <v/>
      </c>
      <c r="H22" s="24">
        <f>ROUNDUP(D22/(1-$B$7),0)</f>
        <v/>
      </c>
    </row>
    <row r="23">
      <c r="A23" s="14" t="n">
        <v>0.5416666666666666</v>
      </c>
      <c r="B23" s="9" t="n">
        <v>62</v>
      </c>
      <c r="C23" s="15">
        <f>B23*$B$6/1800</f>
        <v/>
      </c>
      <c r="D23" s="10">
        <f>IF(C23=0,0,_xlfn.MINIFS(Calc!$C$1:$BJ$1,Calc!$C23:$BJ23,"&gt;="&amp;$B$4,Calc!$C$1:$BJ$1,"&gt;="&amp;C23/$B$8))</f>
        <v/>
      </c>
      <c r="E23" s="16">
        <f>IF(D23=0,1,INDEX(Calc!$C23:$BJ23,D23))</f>
        <v/>
      </c>
      <c r="F23" s="17">
        <f>IF(D23=0,0,_xlfn.POISSON.DIST(D23,C23,FALSE)/(_xlfn.POISSON.DIST(D23,C23,FALSE)+(1-C23/D23)*_xlfn.POISSON.DIST(D23-1,C23,TRUE))*$B$6/(D23-C23))</f>
        <v/>
      </c>
      <c r="G23" s="16">
        <f>IF(D23=0,0,C23/D23)</f>
        <v/>
      </c>
      <c r="H23" s="18">
        <f>ROUNDUP(D23/(1-$B$7),0)</f>
        <v/>
      </c>
    </row>
    <row r="24">
      <c r="A24" s="19" t="n">
        <v>0.5625</v>
      </c>
      <c r="B24" s="9" t="n">
        <v>60</v>
      </c>
      <c r="C24" s="20">
        <f>B24*$B$6/1800</f>
        <v/>
      </c>
      <c r="D24" s="21">
        <f>IF(C24=0,0,_xlfn.MINIFS(Calc!$C$1:$BJ$1,Calc!$C24:$BJ24,"&gt;="&amp;$B$4,Calc!$C$1:$BJ$1,"&gt;="&amp;C24/$B$8))</f>
        <v/>
      </c>
      <c r="E24" s="22">
        <f>IF(D24=0,1,INDEX(Calc!$C24:$BJ24,D24))</f>
        <v/>
      </c>
      <c r="F24" s="23">
        <f>IF(D24=0,0,_xlfn.POISSON.DIST(D24,C24,FALSE)/(_xlfn.POISSON.DIST(D24,C24,FALSE)+(1-C24/D24)*_xlfn.POISSON.DIST(D24-1,C24,TRUE))*$B$6/(D24-C24))</f>
        <v/>
      </c>
      <c r="G24" s="22">
        <f>IF(D24=0,0,C24/D24)</f>
        <v/>
      </c>
      <c r="H24" s="24">
        <f>ROUNDUP(D24/(1-$B$7),0)</f>
        <v/>
      </c>
    </row>
    <row r="25">
      <c r="A25" s="14" t="n">
        <v>0.5833333333333334</v>
      </c>
      <c r="B25" s="9" t="n">
        <v>54</v>
      </c>
      <c r="C25" s="15">
        <f>B25*$B$6/1800</f>
        <v/>
      </c>
      <c r="D25" s="10">
        <f>IF(C25=0,0,_xlfn.MINIFS(Calc!$C$1:$BJ$1,Calc!$C25:$BJ25,"&gt;="&amp;$B$4,Calc!$C$1:$BJ$1,"&gt;="&amp;C25/$B$8))</f>
        <v/>
      </c>
      <c r="E25" s="16">
        <f>IF(D25=0,1,INDEX(Calc!$C25:$BJ25,D25))</f>
        <v/>
      </c>
      <c r="F25" s="17">
        <f>IF(D25=0,0,_xlfn.POISSON.DIST(D25,C25,FALSE)/(_xlfn.POISSON.DIST(D25,C25,FALSE)+(1-C25/D25)*_xlfn.POISSON.DIST(D25-1,C25,TRUE))*$B$6/(D25-C25))</f>
        <v/>
      </c>
      <c r="G25" s="16">
        <f>IF(D25=0,0,C25/D25)</f>
        <v/>
      </c>
      <c r="H25" s="18">
        <f>ROUNDUP(D25/(1-$B$7),0)</f>
        <v/>
      </c>
    </row>
    <row r="26">
      <c r="A26" s="19" t="n">
        <v>0.6041666666666666</v>
      </c>
      <c r="B26" s="9" t="n">
        <v>48</v>
      </c>
      <c r="C26" s="20">
        <f>B26*$B$6/1800</f>
        <v/>
      </c>
      <c r="D26" s="21">
        <f>IF(C26=0,0,_xlfn.MINIFS(Calc!$C$1:$BJ$1,Calc!$C26:$BJ26,"&gt;="&amp;$B$4,Calc!$C$1:$BJ$1,"&gt;="&amp;C26/$B$8))</f>
        <v/>
      </c>
      <c r="E26" s="22">
        <f>IF(D26=0,1,INDEX(Calc!$C26:$BJ26,D26))</f>
        <v/>
      </c>
      <c r="F26" s="23">
        <f>IF(D26=0,0,_xlfn.POISSON.DIST(D26,C26,FALSE)/(_xlfn.POISSON.DIST(D26,C26,FALSE)+(1-C26/D26)*_xlfn.POISSON.DIST(D26-1,C26,TRUE))*$B$6/(D26-C26))</f>
        <v/>
      </c>
      <c r="G26" s="22">
        <f>IF(D26=0,0,C26/D26)</f>
        <v/>
      </c>
      <c r="H26" s="24">
        <f>ROUNDUP(D26/(1-$B$7),0)</f>
        <v/>
      </c>
    </row>
    <row r="27">
      <c r="A27" s="14" t="n">
        <v>0.625</v>
      </c>
      <c r="B27" s="9" t="n">
        <v>42</v>
      </c>
      <c r="C27" s="15">
        <f>B27*$B$6/1800</f>
        <v/>
      </c>
      <c r="D27" s="10">
        <f>IF(C27=0,0,_xlfn.MINIFS(Calc!$C$1:$BJ$1,Calc!$C27:$BJ27,"&gt;="&amp;$B$4,Calc!$C$1:$BJ$1,"&gt;="&amp;C27/$B$8))</f>
        <v/>
      </c>
      <c r="E27" s="16">
        <f>IF(D27=0,1,INDEX(Calc!$C27:$BJ27,D27))</f>
        <v/>
      </c>
      <c r="F27" s="17">
        <f>IF(D27=0,0,_xlfn.POISSON.DIST(D27,C27,FALSE)/(_xlfn.POISSON.DIST(D27,C27,FALSE)+(1-C27/D27)*_xlfn.POISSON.DIST(D27-1,C27,TRUE))*$B$6/(D27-C27))</f>
        <v/>
      </c>
      <c r="G27" s="16">
        <f>IF(D27=0,0,C27/D27)</f>
        <v/>
      </c>
      <c r="H27" s="18">
        <f>ROUNDUP(D27/(1-$B$7),0)</f>
        <v/>
      </c>
    </row>
    <row r="28">
      <c r="A28" s="19" t="n">
        <v>0.6458333333333334</v>
      </c>
      <c r="B28" s="9" t="n">
        <v>38</v>
      </c>
      <c r="C28" s="20">
        <f>B28*$B$6/1800</f>
        <v/>
      </c>
      <c r="D28" s="21">
        <f>IF(C28=0,0,_xlfn.MINIFS(Calc!$C$1:$BJ$1,Calc!$C28:$BJ28,"&gt;="&amp;$B$4,Calc!$C$1:$BJ$1,"&gt;="&amp;C28/$B$8))</f>
        <v/>
      </c>
      <c r="E28" s="22">
        <f>IF(D28=0,1,INDEX(Calc!$C28:$BJ28,D28))</f>
        <v/>
      </c>
      <c r="F28" s="23">
        <f>IF(D28=0,0,_xlfn.POISSON.DIST(D28,C28,FALSE)/(_xlfn.POISSON.DIST(D28,C28,FALSE)+(1-C28/D28)*_xlfn.POISSON.DIST(D28-1,C28,TRUE))*$B$6/(D28-C28))</f>
        <v/>
      </c>
      <c r="G28" s="22">
        <f>IF(D28=0,0,C28/D28)</f>
        <v/>
      </c>
      <c r="H28" s="24">
        <f>ROUNDUP(D28/(1-$B$7),0)</f>
        <v/>
      </c>
    </row>
    <row r="29">
      <c r="A29" s="14" t="n">
        <v>0.6666666666666666</v>
      </c>
      <c r="B29" s="9" t="n">
        <v>33</v>
      </c>
      <c r="C29" s="15">
        <f>B29*$B$6/1800</f>
        <v/>
      </c>
      <c r="D29" s="10">
        <f>IF(C29=0,0,_xlfn.MINIFS(Calc!$C$1:$BJ$1,Calc!$C29:$BJ29,"&gt;="&amp;$B$4,Calc!$C$1:$BJ$1,"&gt;="&amp;C29/$B$8))</f>
        <v/>
      </c>
      <c r="E29" s="16">
        <f>IF(D29=0,1,INDEX(Calc!$C29:$BJ29,D29))</f>
        <v/>
      </c>
      <c r="F29" s="17">
        <f>IF(D29=0,0,_xlfn.POISSON.DIST(D29,C29,FALSE)/(_xlfn.POISSON.DIST(D29,C29,FALSE)+(1-C29/D29)*_xlfn.POISSON.DIST(D29-1,C29,TRUE))*$B$6/(D29-C29))</f>
        <v/>
      </c>
      <c r="G29" s="16">
        <f>IF(D29=0,0,C29/D29)</f>
        <v/>
      </c>
      <c r="H29" s="18">
        <f>ROUNDUP(D29/(1-$B$7),0)</f>
        <v/>
      </c>
    </row>
    <row r="30">
      <c r="A30" s="19" t="n">
        <v>0.6875</v>
      </c>
      <c r="B30" s="9" t="n">
        <v>30</v>
      </c>
      <c r="C30" s="20">
        <f>B30*$B$6/1800</f>
        <v/>
      </c>
      <c r="D30" s="21">
        <f>IF(C30=0,0,_xlfn.MINIFS(Calc!$C$1:$BJ$1,Calc!$C30:$BJ30,"&gt;="&amp;$B$4,Calc!$C$1:$BJ$1,"&gt;="&amp;C30/$B$8))</f>
        <v/>
      </c>
      <c r="E30" s="22">
        <f>IF(D30=0,1,INDEX(Calc!$C30:$BJ30,D30))</f>
        <v/>
      </c>
      <c r="F30" s="23">
        <f>IF(D30=0,0,_xlfn.POISSON.DIST(D30,C30,FALSE)/(_xlfn.POISSON.DIST(D30,C30,FALSE)+(1-C30/D30)*_xlfn.POISSON.DIST(D30-1,C30,TRUE))*$B$6/(D30-C30))</f>
        <v/>
      </c>
      <c r="G30" s="22">
        <f>IF(D30=0,0,C30/D30)</f>
        <v/>
      </c>
      <c r="H30" s="24">
        <f>ROUNDUP(D30/(1-$B$7),0)</f>
        <v/>
      </c>
    </row>
    <row r="31">
      <c r="A31" s="14" t="n">
        <v>0.7083333333333334</v>
      </c>
      <c r="B31" s="9" t="n">
        <v>28</v>
      </c>
      <c r="C31" s="15">
        <f>B31*$B$6/1800</f>
        <v/>
      </c>
      <c r="D31" s="10">
        <f>IF(C31=0,0,_xlfn.MINIFS(Calc!$C$1:$BJ$1,Calc!$C31:$BJ31,"&gt;="&amp;$B$4,Calc!$C$1:$BJ$1,"&gt;="&amp;C31/$B$8))</f>
        <v/>
      </c>
      <c r="E31" s="16">
        <f>IF(D31=0,1,INDEX(Calc!$C31:$BJ31,D31))</f>
        <v/>
      </c>
      <c r="F31" s="17">
        <f>IF(D31=0,0,_xlfn.POISSON.DIST(D31,C31,FALSE)/(_xlfn.POISSON.DIST(D31,C31,FALSE)+(1-C31/D31)*_xlfn.POISSON.DIST(D31-1,C31,TRUE))*$B$6/(D31-C31))</f>
        <v/>
      </c>
      <c r="G31" s="16">
        <f>IF(D31=0,0,C31/D31)</f>
        <v/>
      </c>
      <c r="H31" s="18">
        <f>ROUNDUP(D31/(1-$B$7),0)</f>
        <v/>
      </c>
    </row>
    <row r="32">
      <c r="A32" s="19" t="n">
        <v>0.7291666666666666</v>
      </c>
      <c r="B32" s="9" t="n">
        <v>31</v>
      </c>
      <c r="C32" s="20">
        <f>B32*$B$6/1800</f>
        <v/>
      </c>
      <c r="D32" s="21">
        <f>IF(C32=0,0,_xlfn.MINIFS(Calc!$C$1:$BJ$1,Calc!$C32:$BJ32,"&gt;="&amp;$B$4,Calc!$C$1:$BJ$1,"&gt;="&amp;C32/$B$8))</f>
        <v/>
      </c>
      <c r="E32" s="22">
        <f>IF(D32=0,1,INDEX(Calc!$C32:$BJ32,D32))</f>
        <v/>
      </c>
      <c r="F32" s="23">
        <f>IF(D32=0,0,_xlfn.POISSON.DIST(D32,C32,FALSE)/(_xlfn.POISSON.DIST(D32,C32,FALSE)+(1-C32/D32)*_xlfn.POISSON.DIST(D32-1,C32,TRUE))*$B$6/(D32-C32))</f>
        <v/>
      </c>
      <c r="G32" s="22">
        <f>IF(D32=0,0,C32/D32)</f>
        <v/>
      </c>
      <c r="H32" s="24">
        <f>ROUNDUP(D32/(1-$B$7),0)</f>
        <v/>
      </c>
    </row>
    <row r="33">
      <c r="A33" s="14" t="n">
        <v>0.75</v>
      </c>
      <c r="B33" s="9" t="n">
        <v>34</v>
      </c>
      <c r="C33" s="15">
        <f>B33*$B$6/1800</f>
        <v/>
      </c>
      <c r="D33" s="10">
        <f>IF(C33=0,0,_xlfn.MINIFS(Calc!$C$1:$BJ$1,Calc!$C33:$BJ33,"&gt;="&amp;$B$4,Calc!$C$1:$BJ$1,"&gt;="&amp;C33/$B$8))</f>
        <v/>
      </c>
      <c r="E33" s="16">
        <f>IF(D33=0,1,INDEX(Calc!$C33:$BJ33,D33))</f>
        <v/>
      </c>
      <c r="F33" s="17">
        <f>IF(D33=0,0,_xlfn.POISSON.DIST(D33,C33,FALSE)/(_xlfn.POISSON.DIST(D33,C33,FALSE)+(1-C33/D33)*_xlfn.POISSON.DIST(D33-1,C33,TRUE))*$B$6/(D33-C33))</f>
        <v/>
      </c>
      <c r="G33" s="16">
        <f>IF(D33=0,0,C33/D33)</f>
        <v/>
      </c>
      <c r="H33" s="18">
        <f>ROUNDUP(D33/(1-$B$7),0)</f>
        <v/>
      </c>
    </row>
    <row r="34">
      <c r="A34" s="19" t="n">
        <v>0.7708333333333334</v>
      </c>
      <c r="B34" s="9" t="n">
        <v>32</v>
      </c>
      <c r="C34" s="20">
        <f>B34*$B$6/1800</f>
        <v/>
      </c>
      <c r="D34" s="21">
        <f>IF(C34=0,0,_xlfn.MINIFS(Calc!$C$1:$BJ$1,Calc!$C34:$BJ34,"&gt;="&amp;$B$4,Calc!$C$1:$BJ$1,"&gt;="&amp;C34/$B$8))</f>
        <v/>
      </c>
      <c r="E34" s="22">
        <f>IF(D34=0,1,INDEX(Calc!$C34:$BJ34,D34))</f>
        <v/>
      </c>
      <c r="F34" s="23">
        <f>IF(D34=0,0,_xlfn.POISSON.DIST(D34,C34,FALSE)/(_xlfn.POISSON.DIST(D34,C34,FALSE)+(1-C34/D34)*_xlfn.POISSON.DIST(D34-1,C34,TRUE))*$B$6/(D34-C34))</f>
        <v/>
      </c>
      <c r="G34" s="22">
        <f>IF(D34=0,0,C34/D34)</f>
        <v/>
      </c>
      <c r="H34" s="24">
        <f>ROUNDUP(D34/(1-$B$7),0)</f>
        <v/>
      </c>
    </row>
    <row r="35">
      <c r="A35" s="14" t="n">
        <v>0.7916666666666666</v>
      </c>
      <c r="B35" s="9" t="n">
        <v>26</v>
      </c>
      <c r="C35" s="15">
        <f>B35*$B$6/1800</f>
        <v/>
      </c>
      <c r="D35" s="10">
        <f>IF(C35=0,0,_xlfn.MINIFS(Calc!$C$1:$BJ$1,Calc!$C35:$BJ35,"&gt;="&amp;$B$4,Calc!$C$1:$BJ$1,"&gt;="&amp;C35/$B$8))</f>
        <v/>
      </c>
      <c r="E35" s="16">
        <f>IF(D35=0,1,INDEX(Calc!$C35:$BJ35,D35))</f>
        <v/>
      </c>
      <c r="F35" s="17">
        <f>IF(D35=0,0,_xlfn.POISSON.DIST(D35,C35,FALSE)/(_xlfn.POISSON.DIST(D35,C35,FALSE)+(1-C35/D35)*_xlfn.POISSON.DIST(D35-1,C35,TRUE))*$B$6/(D35-C35))</f>
        <v/>
      </c>
      <c r="G35" s="16">
        <f>IF(D35=0,0,C35/D35)</f>
        <v/>
      </c>
      <c r="H35" s="18">
        <f>ROUNDUP(D35/(1-$B$7),0)</f>
        <v/>
      </c>
    </row>
    <row r="36">
      <c r="A36" s="19" t="n">
        <v>0.8125</v>
      </c>
      <c r="B36" s="9" t="n">
        <v>21</v>
      </c>
      <c r="C36" s="20">
        <f>B36*$B$6/1800</f>
        <v/>
      </c>
      <c r="D36" s="21">
        <f>IF(C36=0,0,_xlfn.MINIFS(Calc!$C$1:$BJ$1,Calc!$C36:$BJ36,"&gt;="&amp;$B$4,Calc!$C$1:$BJ$1,"&gt;="&amp;C36/$B$8))</f>
        <v/>
      </c>
      <c r="E36" s="22">
        <f>IF(D36=0,1,INDEX(Calc!$C36:$BJ36,D36))</f>
        <v/>
      </c>
      <c r="F36" s="23">
        <f>IF(D36=0,0,_xlfn.POISSON.DIST(D36,C36,FALSE)/(_xlfn.POISSON.DIST(D36,C36,FALSE)+(1-C36/D36)*_xlfn.POISSON.DIST(D36-1,C36,TRUE))*$B$6/(D36-C36))</f>
        <v/>
      </c>
      <c r="G36" s="22">
        <f>IF(D36=0,0,C36/D36)</f>
        <v/>
      </c>
      <c r="H36" s="24">
        <f>ROUNDUP(D36/(1-$B$7),0)</f>
        <v/>
      </c>
    </row>
    <row r="37">
      <c r="A37" s="14" t="n">
        <v>0.8333333333333334</v>
      </c>
      <c r="B37" s="9" t="n">
        <v>17</v>
      </c>
      <c r="C37" s="15">
        <f>B37*$B$6/1800</f>
        <v/>
      </c>
      <c r="D37" s="10">
        <f>IF(C37=0,0,_xlfn.MINIFS(Calc!$C$1:$BJ$1,Calc!$C37:$BJ37,"&gt;="&amp;$B$4,Calc!$C$1:$BJ$1,"&gt;="&amp;C37/$B$8))</f>
        <v/>
      </c>
      <c r="E37" s="16">
        <f>IF(D37=0,1,INDEX(Calc!$C37:$BJ37,D37))</f>
        <v/>
      </c>
      <c r="F37" s="17">
        <f>IF(D37=0,0,_xlfn.POISSON.DIST(D37,C37,FALSE)/(_xlfn.POISSON.DIST(D37,C37,FALSE)+(1-C37/D37)*_xlfn.POISSON.DIST(D37-1,C37,TRUE))*$B$6/(D37-C37))</f>
        <v/>
      </c>
      <c r="G37" s="16">
        <f>IF(D37=0,0,C37/D37)</f>
        <v/>
      </c>
      <c r="H37" s="18">
        <f>ROUNDUP(D37/(1-$B$7),0)</f>
        <v/>
      </c>
    </row>
    <row r="38">
      <c r="A38" s="19" t="n">
        <v>0.8541666666666666</v>
      </c>
      <c r="B38" s="9" t="n">
        <v>13</v>
      </c>
      <c r="C38" s="20">
        <f>B38*$B$6/1800</f>
        <v/>
      </c>
      <c r="D38" s="21">
        <f>IF(C38=0,0,_xlfn.MINIFS(Calc!$C$1:$BJ$1,Calc!$C38:$BJ38,"&gt;="&amp;$B$4,Calc!$C$1:$BJ$1,"&gt;="&amp;C38/$B$8))</f>
        <v/>
      </c>
      <c r="E38" s="22">
        <f>IF(D38=0,1,INDEX(Calc!$C38:$BJ38,D38))</f>
        <v/>
      </c>
      <c r="F38" s="23">
        <f>IF(D38=0,0,_xlfn.POISSON.DIST(D38,C38,FALSE)/(_xlfn.POISSON.DIST(D38,C38,FALSE)+(1-C38/D38)*_xlfn.POISSON.DIST(D38-1,C38,TRUE))*$B$6/(D38-C38))</f>
        <v/>
      </c>
      <c r="G38" s="22">
        <f>IF(D38=0,0,C38/D38)</f>
        <v/>
      </c>
      <c r="H38" s="24">
        <f>ROUNDUP(D38/(1-$B$7),0)</f>
        <v/>
      </c>
    </row>
    <row r="39">
      <c r="A39" s="14" t="n">
        <v>0.875</v>
      </c>
      <c r="B39" s="9" t="n">
        <v>10</v>
      </c>
      <c r="C39" s="15">
        <f>B39*$B$6/1800</f>
        <v/>
      </c>
      <c r="D39" s="10">
        <f>IF(C39=0,0,_xlfn.MINIFS(Calc!$C$1:$BJ$1,Calc!$C39:$BJ39,"&gt;="&amp;$B$4,Calc!$C$1:$BJ$1,"&gt;="&amp;C39/$B$8))</f>
        <v/>
      </c>
      <c r="E39" s="16">
        <f>IF(D39=0,1,INDEX(Calc!$C39:$BJ39,D39))</f>
        <v/>
      </c>
      <c r="F39" s="17">
        <f>IF(D39=0,0,_xlfn.POISSON.DIST(D39,C39,FALSE)/(_xlfn.POISSON.DIST(D39,C39,FALSE)+(1-C39/D39)*_xlfn.POISSON.DIST(D39-1,C39,TRUE))*$B$6/(D39-C39))</f>
        <v/>
      </c>
      <c r="G39" s="16">
        <f>IF(D39=0,0,C39/D39)</f>
        <v/>
      </c>
      <c r="H39" s="18">
        <f>ROUNDUP(D39/(1-$B$7),0)</f>
        <v/>
      </c>
    </row>
    <row r="40">
      <c r="A40" s="19" t="n">
        <v>0.8958333333333334</v>
      </c>
      <c r="B40" s="9" t="n">
        <v>7</v>
      </c>
      <c r="C40" s="20">
        <f>B40*$B$6/1800</f>
        <v/>
      </c>
      <c r="D40" s="21">
        <f>IF(C40=0,0,_xlfn.MINIFS(Calc!$C$1:$BJ$1,Calc!$C40:$BJ40,"&gt;="&amp;$B$4,Calc!$C$1:$BJ$1,"&gt;="&amp;C40/$B$8))</f>
        <v/>
      </c>
      <c r="E40" s="22">
        <f>IF(D40=0,1,INDEX(Calc!$C40:$BJ40,D40))</f>
        <v/>
      </c>
      <c r="F40" s="23">
        <f>IF(D40=0,0,_xlfn.POISSON.DIST(D40,C40,FALSE)/(_xlfn.POISSON.DIST(D40,C40,FALSE)+(1-C40/D40)*_xlfn.POISSON.DIST(D40-1,C40,TRUE))*$B$6/(D40-C40))</f>
        <v/>
      </c>
      <c r="G40" s="22">
        <f>IF(D40=0,0,C40/D40)</f>
        <v/>
      </c>
      <c r="H40" s="24">
        <f>ROUNDUP(D40/(1-$B$7),0)</f>
        <v/>
      </c>
    </row>
  </sheetData>
  <conditionalFormatting sqref="E11:E40">
    <cfRule type="cellIs" priority="1" operator="lessThan" dxfId="0">
      <formula>$B$4</formula>
    </cfRule>
  </conditionalFormatting>
  <dataValidations count="2">
    <dataValidation sqref="B4 B7 B8" showDropDown="0" showInputMessage="0" showErrorMessage="1" allowBlank="0" error="Enter a percentage between 1% and 99%." type="decimal" operator="between">
      <formula1>0.01</formula1>
      <formula2>0.99</formula2>
    </dataValidation>
    <dataValidation sqref="B5 B6 B11:B40" showDropDown="0" showInputMessage="0" showErrorMessage="1" allowBlank="0" error="Enter a whole number, 0 or more." type="whole" operator="greaterThanOrEqual">
      <formula1>0</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40"/>
  <sheetViews>
    <sheetView showGridLines="0" tabSelected="0" workbookViewId="0">
      <pane xSplit="1" ySplit="10" topLeftCell="B11"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3" customWidth="1" min="7" max="7"/>
    <col width="13" customWidth="1" min="8" max="8"/>
    <col width="12" customWidth="1" min="9" max="9"/>
    <col width="12" customWidth="1" min="10" max="10"/>
    <col width="11" customWidth="1" min="11" max="11"/>
    <col width="62" customWidth="1" min="12" max="12"/>
  </cols>
  <sheetData>
    <row r="1">
      <c r="A1" s="1" t="inlineStr">
        <is>
          <t>Intraday RTA | Monday 5 Oct 2026, snapshot 15:30 AEST</t>
        </is>
      </c>
    </row>
    <row r="2">
      <c r="A2" s="2" t="inlineStr">
        <is>
          <t>Forecast and required agents link to the Staffing Calculator. Light blue columns are pasted from the phone system.</t>
        </is>
      </c>
    </row>
    <row r="3"/>
    <row r="4">
      <c r="A4" s="5" t="inlineStr">
        <is>
          <t>Calls so far (actual)</t>
        </is>
      </c>
      <c r="B4" s="7">
        <f>SUM(C11:C40)</f>
        <v/>
      </c>
      <c r="E4" s="5" t="inlineStr">
        <is>
          <t>SL target</t>
        </is>
      </c>
      <c r="F4" s="25">
        <f>'Staffing Calculator'!B4</f>
        <v/>
      </c>
    </row>
    <row r="5">
      <c r="A5" s="5" t="inlineStr">
        <is>
          <t>Calls so far (forecast)</t>
        </is>
      </c>
      <c r="B5" s="7">
        <f>SUMPRODUCT((C11:C40&lt;&gt;"")*B11:B40)</f>
        <v/>
      </c>
      <c r="E5" s="5" t="inlineStr">
        <is>
          <t>Intervals below target</t>
        </is>
      </c>
      <c r="F5" s="10">
        <f>COUNTIF(J11:J40,"&lt;"&amp;F4)</f>
        <v/>
      </c>
    </row>
    <row r="6">
      <c r="A6" s="5" t="inlineStr">
        <is>
          <t>Volume variance</t>
        </is>
      </c>
      <c r="B6" s="26">
        <f>B4/B5-1</f>
        <v/>
      </c>
      <c r="E6" s="5" t="inlineStr">
        <is>
          <t>Understaffed intervals</t>
        </is>
      </c>
      <c r="F6" s="10">
        <f>COUNTIF(I11:I40,"&lt;0")</f>
        <v/>
      </c>
    </row>
    <row r="7">
      <c r="A7" s="5" t="inlineStr">
        <is>
          <t>SL so far</t>
        </is>
      </c>
      <c r="B7" s="12">
        <f>SUMPRODUCT(C11:C40,J11:J40)/B4</f>
        <v/>
      </c>
      <c r="E7" s="5" t="inlineStr">
        <is>
          <t>Calls still to come</t>
        </is>
      </c>
      <c r="F7" s="7">
        <f>SUMIFS(B11:B40,C11:C40,"")</f>
        <v/>
      </c>
    </row>
    <row r="8"/>
    <row r="9"/>
    <row r="10" ht="32" customHeight="1">
      <c r="A10" s="13" t="inlineStr">
        <is>
          <t>Interval</t>
        </is>
      </c>
      <c r="B10" s="13" t="inlineStr">
        <is>
          <t>Forecast calls</t>
        </is>
      </c>
      <c r="C10" s="13" t="inlineStr">
        <is>
          <t>Actual calls</t>
        </is>
      </c>
      <c r="D10" s="13" t="inlineStr">
        <is>
          <t>Volume var.</t>
        </is>
      </c>
      <c r="E10" s="13" t="inlineStr">
        <is>
          <t>Forecast AHT</t>
        </is>
      </c>
      <c r="F10" s="13" t="inlineStr">
        <is>
          <t>Actual AHT</t>
        </is>
      </c>
      <c r="G10" s="13" t="inlineStr">
        <is>
          <t>Agents required</t>
        </is>
      </c>
      <c r="H10" s="13" t="inlineStr">
        <is>
          <t>Agents staffed</t>
        </is>
      </c>
      <c r="I10" s="13" t="inlineStr">
        <is>
          <t>Staffing gap</t>
        </is>
      </c>
      <c r="J10" s="13" t="inlineStr">
        <is>
          <t>SL achieved</t>
        </is>
      </c>
      <c r="K10" s="13" t="inlineStr">
        <is>
          <t>Status</t>
        </is>
      </c>
      <c r="L10" s="13" t="inlineStr">
        <is>
          <t>Action taken</t>
        </is>
      </c>
    </row>
    <row r="11">
      <c r="A11" s="14" t="n">
        <v>0.2916666666666667</v>
      </c>
      <c r="B11" s="18">
        <f>'Staffing Calculator'!B11</f>
        <v/>
      </c>
      <c r="C11" s="27" t="n">
        <v>14</v>
      </c>
      <c r="D11" s="28">
        <f>IF(C11="","",C11/B11-1)</f>
        <v/>
      </c>
      <c r="E11" s="18">
        <f>'Staffing Calculator'!$B$6</f>
        <v/>
      </c>
      <c r="F11" s="27" t="n">
        <v>327</v>
      </c>
      <c r="G11" s="18">
        <f>'Staffing Calculator'!D11</f>
        <v/>
      </c>
      <c r="H11" s="27" t="n">
        <v>5</v>
      </c>
      <c r="I11" s="29">
        <f>IF(H11="","",H11-G11)</f>
        <v/>
      </c>
      <c r="J11" s="30" t="n">
        <v>0.856</v>
      </c>
      <c r="K11" s="31">
        <f>IF(C11="","",IF(AND(J11&gt;=$F$4,I11&gt;=0),"On track",IF(J11&gt;=$F$4-0.1,"Watch","Act")))</f>
        <v/>
      </c>
      <c r="L11" s="32" t="inlineStr"/>
    </row>
    <row r="12">
      <c r="A12" s="19" t="n">
        <v>0.3125</v>
      </c>
      <c r="B12" s="24">
        <f>'Staffing Calculator'!B12</f>
        <v/>
      </c>
      <c r="C12" s="27" t="n">
        <v>22</v>
      </c>
      <c r="D12" s="33">
        <f>IF(C12="","",C12/B12-1)</f>
        <v/>
      </c>
      <c r="E12" s="24">
        <f>'Staffing Calculator'!$B$6</f>
        <v/>
      </c>
      <c r="F12" s="27" t="n">
        <v>322</v>
      </c>
      <c r="G12" s="24">
        <f>'Staffing Calculator'!D12</f>
        <v/>
      </c>
      <c r="H12" s="27" t="n">
        <v>8</v>
      </c>
      <c r="I12" s="34">
        <f>IF(H12="","",H12-G12)</f>
        <v/>
      </c>
      <c r="J12" s="30" t="n">
        <v>0.954</v>
      </c>
      <c r="K12" s="35">
        <f>IF(C12="","",IF(AND(J12&gt;=$F$4,I12&gt;=0),"On track",IF(J12&gt;=$F$4-0.1,"Watch","Act")))</f>
        <v/>
      </c>
      <c r="L12" s="36" t="inlineStr"/>
    </row>
    <row r="13">
      <c r="A13" s="14" t="n">
        <v>0.3333333333333333</v>
      </c>
      <c r="B13" s="18">
        <f>'Staffing Calculator'!B13</f>
        <v/>
      </c>
      <c r="C13" s="27" t="n">
        <v>35</v>
      </c>
      <c r="D13" s="28">
        <f>IF(C13="","",C13/B13-1)</f>
        <v/>
      </c>
      <c r="E13" s="18">
        <f>'Staffing Calculator'!$B$6</f>
        <v/>
      </c>
      <c r="F13" s="27" t="n">
        <v>330</v>
      </c>
      <c r="G13" s="18">
        <f>'Staffing Calculator'!D13</f>
        <v/>
      </c>
      <c r="H13" s="27" t="n">
        <v>8</v>
      </c>
      <c r="I13" s="29">
        <f>IF(H13="","",H13-G13)</f>
        <v/>
      </c>
      <c r="J13" s="30" t="n">
        <v>0.579</v>
      </c>
      <c r="K13" s="31">
        <f>IF(C13="","",IF(AND(J13&gt;=$F$4,I13&gt;=0),"On track",IF(J13&gt;=$F$4-0.1,"Watch","Act")))</f>
        <v/>
      </c>
      <c r="L13" s="32" t="inlineStr"/>
    </row>
    <row r="14">
      <c r="A14" s="19" t="n">
        <v>0.3541666666666667</v>
      </c>
      <c r="B14" s="24">
        <f>'Staffing Calculator'!B14</f>
        <v/>
      </c>
      <c r="C14" s="27" t="n">
        <v>53</v>
      </c>
      <c r="D14" s="33">
        <f>IF(C14="","",C14/B14-1)</f>
        <v/>
      </c>
      <c r="E14" s="24">
        <f>'Staffing Calculator'!$B$6</f>
        <v/>
      </c>
      <c r="F14" s="27" t="n">
        <v>345</v>
      </c>
      <c r="G14" s="24">
        <f>'Staffing Calculator'!D14</f>
        <v/>
      </c>
      <c r="H14" s="27" t="n">
        <v>12</v>
      </c>
      <c r="I14" s="34">
        <f>IF(H14="","",H14-G14)</f>
        <v/>
      </c>
      <c r="J14" s="30" t="n">
        <v>0.58</v>
      </c>
      <c r="K14" s="35">
        <f>IF(C14="","",IF(AND(J14&gt;=$F$4,I14&gt;=0),"On track",IF(J14&gt;=$F$4-0.1,"Watch","Act")))</f>
        <v/>
      </c>
      <c r="L14" s="36" t="inlineStr">
        <is>
          <t>Volume +10% early. Held 08:45 team huddle until 09:30.</t>
        </is>
      </c>
    </row>
    <row r="15">
      <c r="A15" s="14" t="n">
        <v>0.375</v>
      </c>
      <c r="B15" s="18">
        <f>'Staffing Calculator'!B15</f>
        <v/>
      </c>
      <c r="C15" s="27" t="n">
        <v>64</v>
      </c>
      <c r="D15" s="28">
        <f>IF(C15="","",C15/B15-1)</f>
        <v/>
      </c>
      <c r="E15" s="18">
        <f>'Staffing Calculator'!$B$6</f>
        <v/>
      </c>
      <c r="F15" s="27" t="n">
        <v>348</v>
      </c>
      <c r="G15" s="18">
        <f>'Staffing Calculator'!D15</f>
        <v/>
      </c>
      <c r="H15" s="27" t="n">
        <v>14</v>
      </c>
      <c r="I15" s="29">
        <f>IF(H15="","",H15-G15)</f>
        <v/>
      </c>
      <c r="J15" s="30" t="n">
        <v>0.472</v>
      </c>
      <c r="K15" s="31">
        <f>IF(C15="","",IF(AND(J15&gt;=$F$4,I15&gt;=0),"On track",IF(J15&gt;=$F$4-0.1,"Watch","Act")))</f>
        <v/>
      </c>
      <c r="L15" s="32" t="inlineStr"/>
    </row>
    <row r="16">
      <c r="A16" s="19" t="n">
        <v>0.3958333333333333</v>
      </c>
      <c r="B16" s="24">
        <f>'Staffing Calculator'!B16</f>
        <v/>
      </c>
      <c r="C16" s="27" t="n">
        <v>71</v>
      </c>
      <c r="D16" s="33">
        <f>IF(C16="","",C16/B16-1)</f>
        <v/>
      </c>
      <c r="E16" s="24">
        <f>'Staffing Calculator'!$B$6</f>
        <v/>
      </c>
      <c r="F16" s="27" t="n">
        <v>358</v>
      </c>
      <c r="G16" s="24">
        <f>'Staffing Calculator'!D16</f>
        <v/>
      </c>
      <c r="H16" s="27" t="n">
        <v>14</v>
      </c>
      <c r="I16" s="34">
        <f>IF(H16="","",H16-G16)</f>
        <v/>
      </c>
      <c r="J16" s="30" t="n">
        <v>0.446</v>
      </c>
      <c r="K16" s="35">
        <f>IF(C16="","",IF(AND(J16&gt;=$F$4,I16&gt;=0),"On track",IF(J16&gt;=$F$4-0.1,"Watch","Act")))</f>
        <v/>
      </c>
      <c r="L16" s="36" t="inlineStr">
        <is>
          <t>2 unplanned absences (Melbourne). Moved 2 chat agents to phones.</t>
        </is>
      </c>
    </row>
    <row r="17">
      <c r="A17" s="14" t="n">
        <v>0.4166666666666667</v>
      </c>
      <c r="B17" s="18">
        <f>'Staffing Calculator'!B17</f>
        <v/>
      </c>
      <c r="C17" s="27" t="n">
        <v>77</v>
      </c>
      <c r="D17" s="28">
        <f>IF(C17="","",C17/B17-1)</f>
        <v/>
      </c>
      <c r="E17" s="18">
        <f>'Staffing Calculator'!$B$6</f>
        <v/>
      </c>
      <c r="F17" s="27" t="n">
        <v>354</v>
      </c>
      <c r="G17" s="18">
        <f>'Staffing Calculator'!D17</f>
        <v/>
      </c>
      <c r="H17" s="27" t="n">
        <v>15</v>
      </c>
      <c r="I17" s="29">
        <f>IF(H17="","",H17-G17)</f>
        <v/>
      </c>
      <c r="J17" s="30" t="n">
        <v>0.35</v>
      </c>
      <c r="K17" s="31">
        <f>IF(C17="","",IF(AND(J17&gt;=$F$4,I17&gt;=0),"On track",IF(J17&gt;=$F$4-0.1,"Watch","Act")))</f>
        <v/>
      </c>
      <c r="L17" s="32" t="inlineStr">
        <is>
          <t>Delivery-delay email drove repeat calls. Pushed 1:1 coaching to Thursday.</t>
        </is>
      </c>
    </row>
    <row r="18">
      <c r="A18" s="19" t="n">
        <v>0.4375</v>
      </c>
      <c r="B18" s="24">
        <f>'Staffing Calculator'!B18</f>
        <v/>
      </c>
      <c r="C18" s="27" t="n">
        <v>78</v>
      </c>
      <c r="D18" s="33">
        <f>IF(C18="","",C18/B18-1)</f>
        <v/>
      </c>
      <c r="E18" s="24">
        <f>'Staffing Calculator'!$B$6</f>
        <v/>
      </c>
      <c r="F18" s="27" t="n">
        <v>344</v>
      </c>
      <c r="G18" s="24">
        <f>'Staffing Calculator'!D18</f>
        <v/>
      </c>
      <c r="H18" s="27" t="n">
        <v>16</v>
      </c>
      <c r="I18" s="34">
        <f>IF(H18="","",H18-G18)</f>
        <v/>
      </c>
      <c r="J18" s="30" t="n">
        <v>0.337</v>
      </c>
      <c r="K18" s="35">
        <f>IF(C18="","",IF(AND(J18&gt;=$F$4,I18&gt;=0),"On track",IF(J18&gt;=$F$4-0.1,"Watch","Act")))</f>
        <v/>
      </c>
      <c r="L18" s="36" t="inlineStr">
        <is>
          <t>Offered 2 hrs voluntary overtime to Manila team, 2 accepted.</t>
        </is>
      </c>
    </row>
    <row r="19">
      <c r="A19" s="14" t="n">
        <v>0.4583333333333333</v>
      </c>
      <c r="B19" s="18">
        <f>'Staffing Calculator'!B19</f>
        <v/>
      </c>
      <c r="C19" s="27" t="n">
        <v>69</v>
      </c>
      <c r="D19" s="28">
        <f>IF(C19="","",C19/B19-1)</f>
        <v/>
      </c>
      <c r="E19" s="18">
        <f>'Staffing Calculator'!$B$6</f>
        <v/>
      </c>
      <c r="F19" s="27" t="n">
        <v>353</v>
      </c>
      <c r="G19" s="18">
        <f>'Staffing Calculator'!D19</f>
        <v/>
      </c>
      <c r="H19" s="27" t="n">
        <v>16</v>
      </c>
      <c r="I19" s="29">
        <f>IF(H19="","",H19-G19)</f>
        <v/>
      </c>
      <c r="J19" s="30" t="n">
        <v>0.616</v>
      </c>
      <c r="K19" s="31">
        <f>IF(C19="","",IF(AND(J19&gt;=$F$4,I19&gt;=0),"On track",IF(J19&gt;=$F$4-0.1,"Watch","Act")))</f>
        <v/>
      </c>
      <c r="L19" s="32" t="inlineStr">
        <is>
          <t>OT agents live. Chat agents back to chat.</t>
        </is>
      </c>
    </row>
    <row r="20">
      <c r="A20" s="19" t="n">
        <v>0.4791666666666667</v>
      </c>
      <c r="B20" s="24">
        <f>'Staffing Calculator'!B20</f>
        <v/>
      </c>
      <c r="C20" s="27" t="n">
        <v>54</v>
      </c>
      <c r="D20" s="33">
        <f>IF(C20="","",C20/B20-1)</f>
        <v/>
      </c>
      <c r="E20" s="24">
        <f>'Staffing Calculator'!$B$6</f>
        <v/>
      </c>
      <c r="F20" s="27" t="n">
        <v>334</v>
      </c>
      <c r="G20" s="24">
        <f>'Staffing Calculator'!D20</f>
        <v/>
      </c>
      <c r="H20" s="27" t="n">
        <v>14</v>
      </c>
      <c r="I20" s="34">
        <f>IF(H20="","",H20-G20)</f>
        <v/>
      </c>
      <c r="J20" s="30" t="n">
        <v>0.853</v>
      </c>
      <c r="K20" s="35">
        <f>IF(C20="","",IF(AND(J20&gt;=$F$4,I20&gt;=0),"On track",IF(J20&gt;=$F$4-0.1,"Watch","Act")))</f>
        <v/>
      </c>
      <c r="L20" s="36" t="inlineStr"/>
    </row>
    <row r="21">
      <c r="A21" s="14" t="n">
        <v>0.5</v>
      </c>
      <c r="B21" s="18">
        <f>'Staffing Calculator'!B21</f>
        <v/>
      </c>
      <c r="C21" s="27" t="n">
        <v>50</v>
      </c>
      <c r="D21" s="28">
        <f>IF(C21="","",C21/B21-1)</f>
        <v/>
      </c>
      <c r="E21" s="18">
        <f>'Staffing Calculator'!$B$6</f>
        <v/>
      </c>
      <c r="F21" s="27" t="n">
        <v>335</v>
      </c>
      <c r="G21" s="18">
        <f>'Staffing Calculator'!D21</f>
        <v/>
      </c>
      <c r="H21" s="27" t="n">
        <v>13</v>
      </c>
      <c r="I21" s="29">
        <f>IF(H21="","",H21-G21)</f>
        <v/>
      </c>
      <c r="J21" s="30" t="n">
        <v>0.862</v>
      </c>
      <c r="K21" s="31">
        <f>IF(C21="","",IF(AND(J21&gt;=$F$4,I21&gt;=0),"On track",IF(J21&gt;=$F$4-0.1,"Watch","Act")))</f>
        <v/>
      </c>
      <c r="L21" s="32" t="inlineStr"/>
    </row>
    <row r="22">
      <c r="A22" s="19" t="n">
        <v>0.5208333333333334</v>
      </c>
      <c r="B22" s="24">
        <f>'Staffing Calculator'!B22</f>
        <v/>
      </c>
      <c r="C22" s="27" t="n">
        <v>55</v>
      </c>
      <c r="D22" s="33">
        <f>IF(C22="","",C22/B22-1)</f>
        <v/>
      </c>
      <c r="E22" s="24">
        <f>'Staffing Calculator'!$B$6</f>
        <v/>
      </c>
      <c r="F22" s="27" t="n">
        <v>338</v>
      </c>
      <c r="G22" s="24">
        <f>'Staffing Calculator'!D22</f>
        <v/>
      </c>
      <c r="H22" s="27" t="n">
        <v>14</v>
      </c>
      <c r="I22" s="34">
        <f>IF(H22="","",H22-G22)</f>
        <v/>
      </c>
      <c r="J22" s="30" t="n">
        <v>0.8090000000000001</v>
      </c>
      <c r="K22" s="35">
        <f>IF(C22="","",IF(AND(J22&gt;=$F$4,I22&gt;=0),"On track",IF(J22&gt;=$F$4-0.1,"Watch","Act")))</f>
        <v/>
      </c>
      <c r="L22" s="36" t="inlineStr">
        <is>
          <t>Staggered lunches 15 min to cover the 12:30 bump.</t>
        </is>
      </c>
    </row>
    <row r="23">
      <c r="A23" s="14" t="n">
        <v>0.5416666666666666</v>
      </c>
      <c r="B23" s="18">
        <f>'Staffing Calculator'!B23</f>
        <v/>
      </c>
      <c r="C23" s="27" t="n">
        <v>59</v>
      </c>
      <c r="D23" s="28">
        <f>IF(C23="","",C23/B23-1)</f>
        <v/>
      </c>
      <c r="E23" s="18">
        <f>'Staffing Calculator'!$B$6</f>
        <v/>
      </c>
      <c r="F23" s="27" t="n">
        <v>338</v>
      </c>
      <c r="G23" s="18">
        <f>'Staffing Calculator'!D23</f>
        <v/>
      </c>
      <c r="H23" s="27" t="n">
        <v>16</v>
      </c>
      <c r="I23" s="29">
        <f>IF(H23="","",H23-G23)</f>
        <v/>
      </c>
      <c r="J23" s="30" t="n">
        <v>0.896</v>
      </c>
      <c r="K23" s="31">
        <f>IF(C23="","",IF(AND(J23&gt;=$F$4,I23&gt;=0),"On track",IF(J23&gt;=$F$4-0.1,"Watch","Act")))</f>
        <v/>
      </c>
      <c r="L23" s="32" t="inlineStr"/>
    </row>
    <row r="24">
      <c r="A24" s="19" t="n">
        <v>0.5625</v>
      </c>
      <c r="B24" s="24">
        <f>'Staffing Calculator'!B24</f>
        <v/>
      </c>
      <c r="C24" s="27" t="n">
        <v>58</v>
      </c>
      <c r="D24" s="33">
        <f>IF(C24="","",C24/B24-1)</f>
        <v/>
      </c>
      <c r="E24" s="24">
        <f>'Staffing Calculator'!$B$6</f>
        <v/>
      </c>
      <c r="F24" s="27" t="n">
        <v>327</v>
      </c>
      <c r="G24" s="24">
        <f>'Staffing Calculator'!D24</f>
        <v/>
      </c>
      <c r="H24" s="27" t="n">
        <v>16</v>
      </c>
      <c r="I24" s="34">
        <f>IF(H24="","",H24-G24)</f>
        <v/>
      </c>
      <c r="J24" s="30" t="n">
        <v>0.918</v>
      </c>
      <c r="K24" s="35">
        <f>IF(C24="","",IF(AND(J24&gt;=$F$4,I24&gt;=0),"On track",IF(J24&gt;=$F$4-0.1,"Watch","Act")))</f>
        <v/>
      </c>
      <c r="L24" s="36" t="inlineStr"/>
    </row>
    <row r="25">
      <c r="A25" s="14" t="n">
        <v>0.5833333333333334</v>
      </c>
      <c r="B25" s="18">
        <f>'Staffing Calculator'!B25</f>
        <v/>
      </c>
      <c r="C25" s="27" t="n">
        <v>47</v>
      </c>
      <c r="D25" s="28">
        <f>IF(C25="","",C25/B25-1)</f>
        <v/>
      </c>
      <c r="E25" s="18">
        <f>'Staffing Calculator'!$B$6</f>
        <v/>
      </c>
      <c r="F25" s="27" t="n">
        <v>326</v>
      </c>
      <c r="G25" s="18">
        <f>'Staffing Calculator'!D25</f>
        <v/>
      </c>
      <c r="H25" s="27" t="n">
        <v>15</v>
      </c>
      <c r="I25" s="29">
        <f>IF(H25="","",H25-G25)</f>
        <v/>
      </c>
      <c r="J25" s="30" t="n">
        <v>0.949</v>
      </c>
      <c r="K25" s="31">
        <f>IF(C25="","",IF(AND(J25&gt;=$F$4,I25&gt;=0),"On track",IF(J25&gt;=$F$4-0.1,"Watch","Act")))</f>
        <v/>
      </c>
      <c r="L25" s="32" t="inlineStr">
        <is>
          <t>Volume under forecast. Released 1 agent to product training.</t>
        </is>
      </c>
    </row>
    <row r="26">
      <c r="A26" s="19" t="n">
        <v>0.6041666666666666</v>
      </c>
      <c r="B26" s="24">
        <f>'Staffing Calculator'!B26</f>
        <v/>
      </c>
      <c r="C26" s="27" t="n">
        <v>43</v>
      </c>
      <c r="D26" s="33">
        <f>IF(C26="","",C26/B26-1)</f>
        <v/>
      </c>
      <c r="E26" s="24">
        <f>'Staffing Calculator'!$B$6</f>
        <v/>
      </c>
      <c r="F26" s="27" t="n">
        <v>328</v>
      </c>
      <c r="G26" s="24">
        <f>'Staffing Calculator'!D26</f>
        <v/>
      </c>
      <c r="H26" s="27" t="n">
        <v>12</v>
      </c>
      <c r="I26" s="34">
        <f>IF(H26="","",H26-G26)</f>
        <v/>
      </c>
      <c r="J26" s="30" t="n">
        <v>0.91</v>
      </c>
      <c r="K26" s="35">
        <f>IF(C26="","",IF(AND(J26&gt;=$F$4,I26&gt;=0),"On track",IF(J26&gt;=$F$4-0.1,"Watch","Act")))</f>
        <v/>
      </c>
      <c r="L26" s="36" t="inlineStr"/>
    </row>
    <row r="27">
      <c r="A27" s="14" t="n">
        <v>0.625</v>
      </c>
      <c r="B27" s="18">
        <f>'Staffing Calculator'!B27</f>
        <v/>
      </c>
      <c r="C27" s="27" t="n">
        <v>38</v>
      </c>
      <c r="D27" s="28">
        <f>IF(C27="","",C27/B27-1)</f>
        <v/>
      </c>
      <c r="E27" s="18">
        <f>'Staffing Calculator'!$B$6</f>
        <v/>
      </c>
      <c r="F27" s="27" t="n">
        <v>340</v>
      </c>
      <c r="G27" s="18">
        <f>'Staffing Calculator'!D27</f>
        <v/>
      </c>
      <c r="H27" s="27" t="n">
        <v>12</v>
      </c>
      <c r="I27" s="29">
        <f>IF(H27="","",H27-G27)</f>
        <v/>
      </c>
      <c r="J27" s="30" t="n">
        <v>0.9320000000000001</v>
      </c>
      <c r="K27" s="31">
        <f>IF(C27="","",IF(AND(J27&gt;=$F$4,I27&gt;=0),"On track",IF(J27&gt;=$F$4-0.1,"Watch","Act")))</f>
        <v/>
      </c>
      <c r="L27" s="32" t="inlineStr"/>
    </row>
    <row r="28">
      <c r="A28" s="37" t="n">
        <v>0.6458333333333334</v>
      </c>
      <c r="B28" s="38">
        <f>'Staffing Calculator'!B28</f>
        <v/>
      </c>
      <c r="C28" s="38" t="n"/>
      <c r="D28" s="39">
        <f>IF(C28="","",C28/B28-1)</f>
        <v/>
      </c>
      <c r="E28" s="38">
        <f>'Staffing Calculator'!$B$6</f>
        <v/>
      </c>
      <c r="F28" s="38" t="n"/>
      <c r="G28" s="38">
        <f>'Staffing Calculator'!D28</f>
        <v/>
      </c>
      <c r="H28" s="38" t="n"/>
      <c r="I28" s="40">
        <f>IF(H28="","",H28-G28)</f>
        <v/>
      </c>
      <c r="J28" s="41" t="n"/>
      <c r="K28" s="42">
        <f>IF(C28="","",IF(AND(J28&gt;=$F$4,I28&gt;=0),"On track",IF(J28&gt;=$F$4-0.1,"Watch","Act")))</f>
        <v/>
      </c>
      <c r="L28" s="43" t="inlineStr"/>
    </row>
    <row r="29">
      <c r="A29" s="44" t="n">
        <v>0.6666666666666666</v>
      </c>
      <c r="B29" s="45">
        <f>'Staffing Calculator'!B29</f>
        <v/>
      </c>
      <c r="C29" s="45" t="n"/>
      <c r="D29" s="46">
        <f>IF(C29="","",C29/B29-1)</f>
        <v/>
      </c>
      <c r="E29" s="45">
        <f>'Staffing Calculator'!$B$6</f>
        <v/>
      </c>
      <c r="F29" s="45" t="n"/>
      <c r="G29" s="45">
        <f>'Staffing Calculator'!D29</f>
        <v/>
      </c>
      <c r="H29" s="45" t="n"/>
      <c r="I29" s="47">
        <f>IF(H29="","",H29-G29)</f>
        <v/>
      </c>
      <c r="J29" s="48" t="n"/>
      <c r="K29" s="49">
        <f>IF(C29="","",IF(AND(J29&gt;=$F$4,I29&gt;=0),"On track",IF(J29&gt;=$F$4-0.1,"Watch","Act")))</f>
        <v/>
      </c>
      <c r="L29" s="50" t="inlineStr"/>
    </row>
    <row r="30">
      <c r="A30" s="37" t="n">
        <v>0.6875</v>
      </c>
      <c r="B30" s="38">
        <f>'Staffing Calculator'!B30</f>
        <v/>
      </c>
      <c r="C30" s="38" t="n"/>
      <c r="D30" s="39">
        <f>IF(C30="","",C30/B30-1)</f>
        <v/>
      </c>
      <c r="E30" s="38">
        <f>'Staffing Calculator'!$B$6</f>
        <v/>
      </c>
      <c r="F30" s="38" t="n"/>
      <c r="G30" s="38">
        <f>'Staffing Calculator'!D30</f>
        <v/>
      </c>
      <c r="H30" s="38" t="n"/>
      <c r="I30" s="40">
        <f>IF(H30="","",H30-G30)</f>
        <v/>
      </c>
      <c r="J30" s="41" t="n"/>
      <c r="K30" s="42">
        <f>IF(C30="","",IF(AND(J30&gt;=$F$4,I30&gt;=0),"On track",IF(J30&gt;=$F$4-0.1,"Watch","Act")))</f>
        <v/>
      </c>
      <c r="L30" s="43" t="inlineStr"/>
    </row>
    <row r="31">
      <c r="A31" s="44" t="n">
        <v>0.7083333333333334</v>
      </c>
      <c r="B31" s="45">
        <f>'Staffing Calculator'!B31</f>
        <v/>
      </c>
      <c r="C31" s="45" t="n"/>
      <c r="D31" s="46">
        <f>IF(C31="","",C31/B31-1)</f>
        <v/>
      </c>
      <c r="E31" s="45">
        <f>'Staffing Calculator'!$B$6</f>
        <v/>
      </c>
      <c r="F31" s="45" t="n"/>
      <c r="G31" s="45">
        <f>'Staffing Calculator'!D31</f>
        <v/>
      </c>
      <c r="H31" s="45" t="n"/>
      <c r="I31" s="47">
        <f>IF(H31="","",H31-G31)</f>
        <v/>
      </c>
      <c r="J31" s="48" t="n"/>
      <c r="K31" s="49">
        <f>IF(C31="","",IF(AND(J31&gt;=$F$4,I31&gt;=0),"On track",IF(J31&gt;=$F$4-0.1,"Watch","Act")))</f>
        <v/>
      </c>
      <c r="L31" s="50" t="inlineStr"/>
    </row>
    <row r="32">
      <c r="A32" s="37" t="n">
        <v>0.7291666666666666</v>
      </c>
      <c r="B32" s="38">
        <f>'Staffing Calculator'!B32</f>
        <v/>
      </c>
      <c r="C32" s="38" t="n"/>
      <c r="D32" s="39">
        <f>IF(C32="","",C32/B32-1)</f>
        <v/>
      </c>
      <c r="E32" s="38">
        <f>'Staffing Calculator'!$B$6</f>
        <v/>
      </c>
      <c r="F32" s="38" t="n"/>
      <c r="G32" s="38">
        <f>'Staffing Calculator'!D32</f>
        <v/>
      </c>
      <c r="H32" s="38" t="n"/>
      <c r="I32" s="40">
        <f>IF(H32="","",H32-G32)</f>
        <v/>
      </c>
      <c r="J32" s="41" t="n"/>
      <c r="K32" s="42">
        <f>IF(C32="","",IF(AND(J32&gt;=$F$4,I32&gt;=0),"On track",IF(J32&gt;=$F$4-0.1,"Watch","Act")))</f>
        <v/>
      </c>
      <c r="L32" s="43" t="inlineStr"/>
    </row>
    <row r="33">
      <c r="A33" s="44" t="n">
        <v>0.75</v>
      </c>
      <c r="B33" s="45">
        <f>'Staffing Calculator'!B33</f>
        <v/>
      </c>
      <c r="C33" s="45" t="n"/>
      <c r="D33" s="46">
        <f>IF(C33="","",C33/B33-1)</f>
        <v/>
      </c>
      <c r="E33" s="45">
        <f>'Staffing Calculator'!$B$6</f>
        <v/>
      </c>
      <c r="F33" s="45" t="n"/>
      <c r="G33" s="45">
        <f>'Staffing Calculator'!D33</f>
        <v/>
      </c>
      <c r="H33" s="45" t="n"/>
      <c r="I33" s="47">
        <f>IF(H33="","",H33-G33)</f>
        <v/>
      </c>
      <c r="J33" s="48" t="n"/>
      <c r="K33" s="49">
        <f>IF(C33="","",IF(AND(J33&gt;=$F$4,I33&gt;=0),"On track",IF(J33&gt;=$F$4-0.1,"Watch","Act")))</f>
        <v/>
      </c>
      <c r="L33" s="50" t="inlineStr"/>
    </row>
    <row r="34">
      <c r="A34" s="37" t="n">
        <v>0.7708333333333334</v>
      </c>
      <c r="B34" s="38">
        <f>'Staffing Calculator'!B34</f>
        <v/>
      </c>
      <c r="C34" s="38" t="n"/>
      <c r="D34" s="39">
        <f>IF(C34="","",C34/B34-1)</f>
        <v/>
      </c>
      <c r="E34" s="38">
        <f>'Staffing Calculator'!$B$6</f>
        <v/>
      </c>
      <c r="F34" s="38" t="n"/>
      <c r="G34" s="38">
        <f>'Staffing Calculator'!D34</f>
        <v/>
      </c>
      <c r="H34" s="38" t="n"/>
      <c r="I34" s="40">
        <f>IF(H34="","",H34-G34)</f>
        <v/>
      </c>
      <c r="J34" s="41" t="n"/>
      <c r="K34" s="42">
        <f>IF(C34="","",IF(AND(J34&gt;=$F$4,I34&gt;=0),"On track",IF(J34&gt;=$F$4-0.1,"Watch","Act")))</f>
        <v/>
      </c>
      <c r="L34" s="43" t="inlineStr"/>
    </row>
    <row r="35">
      <c r="A35" s="44" t="n">
        <v>0.7916666666666666</v>
      </c>
      <c r="B35" s="45">
        <f>'Staffing Calculator'!B35</f>
        <v/>
      </c>
      <c r="C35" s="45" t="n"/>
      <c r="D35" s="46">
        <f>IF(C35="","",C35/B35-1)</f>
        <v/>
      </c>
      <c r="E35" s="45">
        <f>'Staffing Calculator'!$B$6</f>
        <v/>
      </c>
      <c r="F35" s="45" t="n"/>
      <c r="G35" s="45">
        <f>'Staffing Calculator'!D35</f>
        <v/>
      </c>
      <c r="H35" s="45" t="n"/>
      <c r="I35" s="47">
        <f>IF(H35="","",H35-G35)</f>
        <v/>
      </c>
      <c r="J35" s="48" t="n"/>
      <c r="K35" s="49">
        <f>IF(C35="","",IF(AND(J35&gt;=$F$4,I35&gt;=0),"On track",IF(J35&gt;=$F$4-0.1,"Watch","Act")))</f>
        <v/>
      </c>
      <c r="L35" s="50" t="inlineStr"/>
    </row>
    <row r="36">
      <c r="A36" s="37" t="n">
        <v>0.8125</v>
      </c>
      <c r="B36" s="38">
        <f>'Staffing Calculator'!B36</f>
        <v/>
      </c>
      <c r="C36" s="38" t="n"/>
      <c r="D36" s="39">
        <f>IF(C36="","",C36/B36-1)</f>
        <v/>
      </c>
      <c r="E36" s="38">
        <f>'Staffing Calculator'!$B$6</f>
        <v/>
      </c>
      <c r="F36" s="38" t="n"/>
      <c r="G36" s="38">
        <f>'Staffing Calculator'!D36</f>
        <v/>
      </c>
      <c r="H36" s="38" t="n"/>
      <c r="I36" s="40">
        <f>IF(H36="","",H36-G36)</f>
        <v/>
      </c>
      <c r="J36" s="41" t="n"/>
      <c r="K36" s="42">
        <f>IF(C36="","",IF(AND(J36&gt;=$F$4,I36&gt;=0),"On track",IF(J36&gt;=$F$4-0.1,"Watch","Act")))</f>
        <v/>
      </c>
      <c r="L36" s="43" t="inlineStr"/>
    </row>
    <row r="37">
      <c r="A37" s="44" t="n">
        <v>0.8333333333333334</v>
      </c>
      <c r="B37" s="45">
        <f>'Staffing Calculator'!B37</f>
        <v/>
      </c>
      <c r="C37" s="45" t="n"/>
      <c r="D37" s="46">
        <f>IF(C37="","",C37/B37-1)</f>
        <v/>
      </c>
      <c r="E37" s="45">
        <f>'Staffing Calculator'!$B$6</f>
        <v/>
      </c>
      <c r="F37" s="45" t="n"/>
      <c r="G37" s="45">
        <f>'Staffing Calculator'!D37</f>
        <v/>
      </c>
      <c r="H37" s="45" t="n"/>
      <c r="I37" s="47">
        <f>IF(H37="","",H37-G37)</f>
        <v/>
      </c>
      <c r="J37" s="48" t="n"/>
      <c r="K37" s="49">
        <f>IF(C37="","",IF(AND(J37&gt;=$F$4,I37&gt;=0),"On track",IF(J37&gt;=$F$4-0.1,"Watch","Act")))</f>
        <v/>
      </c>
      <c r="L37" s="50" t="inlineStr"/>
    </row>
    <row r="38">
      <c r="A38" s="37" t="n">
        <v>0.8541666666666666</v>
      </c>
      <c r="B38" s="38">
        <f>'Staffing Calculator'!B38</f>
        <v/>
      </c>
      <c r="C38" s="38" t="n"/>
      <c r="D38" s="39">
        <f>IF(C38="","",C38/B38-1)</f>
        <v/>
      </c>
      <c r="E38" s="38">
        <f>'Staffing Calculator'!$B$6</f>
        <v/>
      </c>
      <c r="F38" s="38" t="n"/>
      <c r="G38" s="38">
        <f>'Staffing Calculator'!D38</f>
        <v/>
      </c>
      <c r="H38" s="38" t="n"/>
      <c r="I38" s="40">
        <f>IF(H38="","",H38-G38)</f>
        <v/>
      </c>
      <c r="J38" s="41" t="n"/>
      <c r="K38" s="42">
        <f>IF(C38="","",IF(AND(J38&gt;=$F$4,I38&gt;=0),"On track",IF(J38&gt;=$F$4-0.1,"Watch","Act")))</f>
        <v/>
      </c>
      <c r="L38" s="43" t="inlineStr"/>
    </row>
    <row r="39">
      <c r="A39" s="44" t="n">
        <v>0.875</v>
      </c>
      <c r="B39" s="45">
        <f>'Staffing Calculator'!B39</f>
        <v/>
      </c>
      <c r="C39" s="45" t="n"/>
      <c r="D39" s="46">
        <f>IF(C39="","",C39/B39-1)</f>
        <v/>
      </c>
      <c r="E39" s="45">
        <f>'Staffing Calculator'!$B$6</f>
        <v/>
      </c>
      <c r="F39" s="45" t="n"/>
      <c r="G39" s="45">
        <f>'Staffing Calculator'!D39</f>
        <v/>
      </c>
      <c r="H39" s="45" t="n"/>
      <c r="I39" s="47">
        <f>IF(H39="","",H39-G39)</f>
        <v/>
      </c>
      <c r="J39" s="48" t="n"/>
      <c r="K39" s="49">
        <f>IF(C39="","",IF(AND(J39&gt;=$F$4,I39&gt;=0),"On track",IF(J39&gt;=$F$4-0.1,"Watch","Act")))</f>
        <v/>
      </c>
      <c r="L39" s="50" t="inlineStr"/>
    </row>
    <row r="40">
      <c r="A40" s="37" t="n">
        <v>0.8958333333333334</v>
      </c>
      <c r="B40" s="38">
        <f>'Staffing Calculator'!B40</f>
        <v/>
      </c>
      <c r="C40" s="38" t="n"/>
      <c r="D40" s="39">
        <f>IF(C40="","",C40/B40-1)</f>
        <v/>
      </c>
      <c r="E40" s="38">
        <f>'Staffing Calculator'!$B$6</f>
        <v/>
      </c>
      <c r="F40" s="38" t="n"/>
      <c r="G40" s="38">
        <f>'Staffing Calculator'!D40</f>
        <v/>
      </c>
      <c r="H40" s="38" t="n"/>
      <c r="I40" s="40">
        <f>IF(H40="","",H40-G40)</f>
        <v/>
      </c>
      <c r="J40" s="41" t="n"/>
      <c r="K40" s="42">
        <f>IF(C40="","",IF(AND(J40&gt;=$F$4,I40&gt;=0),"On track",IF(J40&gt;=$F$4-0.1,"Watch","Act")))</f>
        <v/>
      </c>
      <c r="L40" s="43" t="inlineStr"/>
    </row>
  </sheetData>
  <conditionalFormatting sqref="K11:K40">
    <cfRule type="cellIs" priority="1" operator="equal" dxfId="1">
      <formula>"On track"</formula>
    </cfRule>
    <cfRule type="cellIs" priority="2" operator="equal" dxfId="2">
      <formula>"Watch"</formula>
    </cfRule>
    <cfRule type="cellIs" priority="3" operator="equal" dxfId="0">
      <formula>"Act"</formula>
    </cfRule>
  </conditionalFormatting>
  <conditionalFormatting sqref="J11:J40">
    <cfRule type="expression" priority="4" dxfId="0">
      <formula>AND(J11&lt;&gt;"",J11&lt;$F$4-0.1)</formula>
    </cfRule>
    <cfRule type="expression" priority="5" dxfId="2">
      <formula>AND(J11&lt;&gt;"",J11&lt;$F$4)</formula>
    </cfRule>
  </conditionalFormatting>
  <conditionalFormatting sqref="I11:I40">
    <cfRule type="expression" priority="6" dxfId="0">
      <formula>AND(I11&lt;&gt;"",I11&lt;0)</formula>
    </cfRule>
  </conditionalFormatting>
  <conditionalFormatting sqref="D11:D40">
    <cfRule type="expression" priority="7" dxfId="2">
      <formula>AND(D11&lt;&gt;"",ABS(D11)&gt;=0.1)</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8"/>
  <sheetViews>
    <sheetView showGridLines="0" tabSelected="0" workbookViewId="0">
      <pane xSplit="1" ySplit="6" topLeftCell="B7"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0" customWidth="1" min="3" max="3"/>
    <col width="14" customWidth="1" min="4" max="4"/>
    <col width="12" customWidth="1" min="5" max="5"/>
    <col width="12" customWidth="1" min="6" max="6"/>
    <col width="13" customWidth="1" min="7" max="7"/>
    <col width="13" customWidth="1" min="8" max="8"/>
    <col width="12" customWidth="1" min="9" max="9"/>
    <col width="13" customWidth="1" min="10" max="10"/>
    <col width="48" customWidth="1" min="11" max="11"/>
  </cols>
  <sheetData>
    <row r="1">
      <c r="A1" s="1" t="inlineStr">
        <is>
          <t>Schedule Adherence | Monday 5 Oct 2026</t>
        </is>
      </c>
    </row>
    <row r="2">
      <c r="A2" s="2" t="inlineStr">
        <is>
          <t>Adherence = minutes in the scheduled activity at the scheduled time. Conformance = minutes worked vs minutes scheduled.</t>
        </is>
      </c>
    </row>
    <row r="3"/>
    <row r="4">
      <c r="A4" s="5" t="inlineStr">
        <is>
          <t>Team adherence</t>
        </is>
      </c>
      <c r="B4" s="12">
        <f>SUM(G7:G26)/SUM(E7:E26)</f>
        <v/>
      </c>
      <c r="E4" s="5" t="inlineStr">
        <is>
          <t>Adherence target</t>
        </is>
      </c>
      <c r="F4" s="6" t="n">
        <v>0.92</v>
      </c>
    </row>
    <row r="5"/>
    <row r="6" ht="32" customHeight="1">
      <c r="A6" s="13" t="inlineStr">
        <is>
          <t>Agent</t>
        </is>
      </c>
      <c r="B6" s="13" t="inlineStr">
        <is>
          <t>Site</t>
        </is>
      </c>
      <c r="C6" s="13" t="inlineStr">
        <is>
          <t>Queue</t>
        </is>
      </c>
      <c r="D6" s="13" t="inlineStr">
        <is>
          <t>Shift start (AEST)</t>
        </is>
      </c>
      <c r="E6" s="13" t="inlineStr">
        <is>
          <t>Scheduled min</t>
        </is>
      </c>
      <c r="F6" s="13" t="inlineStr">
        <is>
          <t>Worked min</t>
        </is>
      </c>
      <c r="G6" s="13" t="inlineStr">
        <is>
          <t>In adherence min</t>
        </is>
      </c>
      <c r="H6" s="13" t="inlineStr">
        <is>
          <t>Out of adherence min</t>
        </is>
      </c>
      <c r="I6" s="13" t="inlineStr">
        <is>
          <t>Adherence</t>
        </is>
      </c>
      <c r="J6" s="13" t="inlineStr">
        <is>
          <t>Conformance</t>
        </is>
      </c>
      <c r="K6" s="13" t="inlineStr">
        <is>
          <t>Main exception</t>
        </is>
      </c>
    </row>
    <row r="7">
      <c r="A7" s="32" t="inlineStr">
        <is>
          <t>Mia Thompson</t>
        </is>
      </c>
      <c r="B7" s="31" t="inlineStr">
        <is>
          <t>Melbourne</t>
        </is>
      </c>
      <c r="C7" s="31" t="inlineStr">
        <is>
          <t>Phones</t>
        </is>
      </c>
      <c r="D7" s="31" t="inlineStr">
        <is>
          <t>07:00</t>
        </is>
      </c>
      <c r="E7" s="31" t="n">
        <v>450</v>
      </c>
      <c r="F7" s="51" t="n">
        <v>447</v>
      </c>
      <c r="G7" s="51" t="n">
        <v>435</v>
      </c>
      <c r="H7" s="31">
        <f>E7-G7</f>
        <v/>
      </c>
      <c r="I7" s="16">
        <f>G7/E7</f>
        <v/>
      </c>
      <c r="J7" s="16">
        <f>F7/E7</f>
        <v/>
      </c>
      <c r="K7" s="32" t="inlineStr"/>
    </row>
    <row r="8">
      <c r="A8" s="36" t="inlineStr">
        <is>
          <t>Liam Nguyen</t>
        </is>
      </c>
      <c r="B8" s="35" t="inlineStr">
        <is>
          <t>Melbourne</t>
        </is>
      </c>
      <c r="C8" s="35" t="inlineStr">
        <is>
          <t>Phones</t>
        </is>
      </c>
      <c r="D8" s="35" t="inlineStr">
        <is>
          <t>07:00</t>
        </is>
      </c>
      <c r="E8" s="35" t="n">
        <v>450</v>
      </c>
      <c r="F8" s="51" t="n">
        <v>450</v>
      </c>
      <c r="G8" s="51" t="n">
        <v>431</v>
      </c>
      <c r="H8" s="35">
        <f>E8-G8</f>
        <v/>
      </c>
      <c r="I8" s="22">
        <f>G8/E8</f>
        <v/>
      </c>
      <c r="J8" s="22">
        <f>F8/E8</f>
        <v/>
      </c>
      <c r="K8" s="36" t="inlineStr"/>
    </row>
    <row r="9">
      <c r="A9" s="32" t="inlineStr">
        <is>
          <t>Chloe Walsh</t>
        </is>
      </c>
      <c r="B9" s="31" t="inlineStr">
        <is>
          <t>Melbourne</t>
        </is>
      </c>
      <c r="C9" s="31" t="inlineStr">
        <is>
          <t>Phones</t>
        </is>
      </c>
      <c r="D9" s="31" t="inlineStr">
        <is>
          <t>08:00</t>
        </is>
      </c>
      <c r="E9" s="31" t="n">
        <v>450</v>
      </c>
      <c r="F9" s="51" t="n">
        <v>449</v>
      </c>
      <c r="G9" s="51" t="n">
        <v>433</v>
      </c>
      <c r="H9" s="31">
        <f>E9-G9</f>
        <v/>
      </c>
      <c r="I9" s="16">
        <f>G9/E9</f>
        <v/>
      </c>
      <c r="J9" s="16">
        <f>F9/E9</f>
        <v/>
      </c>
      <c r="K9" s="32" t="inlineStr"/>
    </row>
    <row r="10">
      <c r="A10" s="36" t="inlineStr">
        <is>
          <t>Noah Patel</t>
        </is>
      </c>
      <c r="B10" s="35" t="inlineStr">
        <is>
          <t>Melbourne</t>
        </is>
      </c>
      <c r="C10" s="35" t="inlineStr">
        <is>
          <t>Phones</t>
        </is>
      </c>
      <c r="D10" s="35" t="inlineStr">
        <is>
          <t>08:30</t>
        </is>
      </c>
      <c r="E10" s="35" t="n">
        <v>450</v>
      </c>
      <c r="F10" s="51" t="n">
        <v>402</v>
      </c>
      <c r="G10" s="51" t="n">
        <v>368</v>
      </c>
      <c r="H10" s="35">
        <f>E10-G10</f>
        <v/>
      </c>
      <c r="I10" s="22">
        <f>G10/E10</f>
        <v/>
      </c>
      <c r="J10" s="22">
        <f>F10/E10</f>
        <v/>
      </c>
      <c r="K10" s="36" t="inlineStr">
        <is>
          <t>Unplanned absence cover, logged in 38 min late</t>
        </is>
      </c>
    </row>
    <row r="11">
      <c r="A11" s="32" t="inlineStr">
        <is>
          <t>Grace O'Connor</t>
        </is>
      </c>
      <c r="B11" s="31" t="inlineStr">
        <is>
          <t>Melbourne</t>
        </is>
      </c>
      <c r="C11" s="31" t="inlineStr">
        <is>
          <t>Chat</t>
        </is>
      </c>
      <c r="D11" s="31" t="inlineStr">
        <is>
          <t>09:00</t>
        </is>
      </c>
      <c r="E11" s="31" t="n">
        <v>450</v>
      </c>
      <c r="F11" s="51" t="n">
        <v>447</v>
      </c>
      <c r="G11" s="51" t="n">
        <v>418</v>
      </c>
      <c r="H11" s="31">
        <f>E11-G11</f>
        <v/>
      </c>
      <c r="I11" s="16">
        <f>G11/E11</f>
        <v/>
      </c>
      <c r="J11" s="16">
        <f>F11/E11</f>
        <v/>
      </c>
      <c r="K11" s="32" t="inlineStr"/>
    </row>
    <row r="12">
      <c r="A12" s="36" t="inlineStr">
        <is>
          <t>Jack Robinson</t>
        </is>
      </c>
      <c r="B12" s="35" t="inlineStr">
        <is>
          <t>Melbourne</t>
        </is>
      </c>
      <c r="C12" s="35" t="inlineStr">
        <is>
          <t>Phones</t>
        </is>
      </c>
      <c r="D12" s="35" t="inlineStr">
        <is>
          <t>09:00</t>
        </is>
      </c>
      <c r="E12" s="35" t="n">
        <v>450</v>
      </c>
      <c r="F12" s="51" t="n">
        <v>452</v>
      </c>
      <c r="G12" s="51" t="n">
        <v>401</v>
      </c>
      <c r="H12" s="35">
        <f>E12-G12</f>
        <v/>
      </c>
      <c r="I12" s="22">
        <f>G12/E12</f>
        <v/>
      </c>
      <c r="J12" s="22">
        <f>F12/E12</f>
        <v/>
      </c>
      <c r="K12" s="36" t="inlineStr">
        <is>
          <t>Extended lunch (22 min over)</t>
        </is>
      </c>
    </row>
    <row r="13">
      <c r="A13" s="32" t="inlineStr">
        <is>
          <t>Ruby Chen</t>
        </is>
      </c>
      <c r="B13" s="31" t="inlineStr">
        <is>
          <t>Melbourne</t>
        </is>
      </c>
      <c r="C13" s="31" t="inlineStr">
        <is>
          <t>Chat</t>
        </is>
      </c>
      <c r="D13" s="31" t="inlineStr">
        <is>
          <t>10:00</t>
        </is>
      </c>
      <c r="E13" s="31" t="n">
        <v>450</v>
      </c>
      <c r="F13" s="51" t="n">
        <v>455</v>
      </c>
      <c r="G13" s="51" t="n">
        <v>420</v>
      </c>
      <c r="H13" s="31">
        <f>E13-G13</f>
        <v/>
      </c>
      <c r="I13" s="16">
        <f>G13/E13</f>
        <v/>
      </c>
      <c r="J13" s="16">
        <f>F13/E13</f>
        <v/>
      </c>
      <c r="K13" s="32" t="inlineStr">
        <is>
          <t>System issue 10:05-10:40 (chat tool down)</t>
        </is>
      </c>
    </row>
    <row r="14">
      <c r="A14" s="36" t="inlineStr">
        <is>
          <t>Oliver Hart</t>
        </is>
      </c>
      <c r="B14" s="35" t="inlineStr">
        <is>
          <t>Melbourne</t>
        </is>
      </c>
      <c r="C14" s="35" t="inlineStr">
        <is>
          <t>Phones</t>
        </is>
      </c>
      <c r="D14" s="35" t="inlineStr">
        <is>
          <t>12:00</t>
        </is>
      </c>
      <c r="E14" s="35" t="n">
        <v>450</v>
      </c>
      <c r="F14" s="51" t="n">
        <v>447</v>
      </c>
      <c r="G14" s="51" t="n">
        <v>417</v>
      </c>
      <c r="H14" s="35">
        <f>E14-G14</f>
        <v/>
      </c>
      <c r="I14" s="22">
        <f>G14/E14</f>
        <v/>
      </c>
      <c r="J14" s="22">
        <f>F14/E14</f>
        <v/>
      </c>
      <c r="K14" s="36" t="inlineStr"/>
    </row>
    <row r="15">
      <c r="A15" s="32" t="inlineStr">
        <is>
          <t>Andrea Santos</t>
        </is>
      </c>
      <c r="B15" s="31" t="inlineStr">
        <is>
          <t>Manila</t>
        </is>
      </c>
      <c r="C15" s="31" t="inlineStr">
        <is>
          <t>Phones</t>
        </is>
      </c>
      <c r="D15" s="31" t="inlineStr">
        <is>
          <t>07:30</t>
        </is>
      </c>
      <c r="E15" s="31" t="n">
        <v>450</v>
      </c>
      <c r="F15" s="51" t="n">
        <v>452</v>
      </c>
      <c r="G15" s="51" t="n">
        <v>439</v>
      </c>
      <c r="H15" s="31">
        <f>E15-G15</f>
        <v/>
      </c>
      <c r="I15" s="16">
        <f>G15/E15</f>
        <v/>
      </c>
      <c r="J15" s="16">
        <f>F15/E15</f>
        <v/>
      </c>
      <c r="K15" s="32" t="inlineStr"/>
    </row>
    <row r="16">
      <c r="A16" s="36" t="inlineStr">
        <is>
          <t>Miguel Reyes</t>
        </is>
      </c>
      <c r="B16" s="35" t="inlineStr">
        <is>
          <t>Manila</t>
        </is>
      </c>
      <c r="C16" s="35" t="inlineStr">
        <is>
          <t>Phones</t>
        </is>
      </c>
      <c r="D16" s="35" t="inlineStr">
        <is>
          <t>08:00</t>
        </is>
      </c>
      <c r="E16" s="35" t="n">
        <v>450</v>
      </c>
      <c r="F16" s="51" t="n">
        <v>446</v>
      </c>
      <c r="G16" s="51" t="n">
        <v>432</v>
      </c>
      <c r="H16" s="35">
        <f>E16-G16</f>
        <v/>
      </c>
      <c r="I16" s="22">
        <f>G16/E16</f>
        <v/>
      </c>
      <c r="J16" s="22">
        <f>F16/E16</f>
        <v/>
      </c>
      <c r="K16" s="36" t="inlineStr"/>
    </row>
    <row r="17">
      <c r="A17" s="32" t="inlineStr">
        <is>
          <t>Bea Villanueva</t>
        </is>
      </c>
      <c r="B17" s="31" t="inlineStr">
        <is>
          <t>Manila</t>
        </is>
      </c>
      <c r="C17" s="31" t="inlineStr">
        <is>
          <t>Chat</t>
        </is>
      </c>
      <c r="D17" s="31" t="inlineStr">
        <is>
          <t>08:00</t>
        </is>
      </c>
      <c r="E17" s="31" t="n">
        <v>450</v>
      </c>
      <c r="F17" s="51" t="n">
        <v>449</v>
      </c>
      <c r="G17" s="51" t="n">
        <v>430</v>
      </c>
      <c r="H17" s="31">
        <f>E17-G17</f>
        <v/>
      </c>
      <c r="I17" s="16">
        <f>G17/E17</f>
        <v/>
      </c>
      <c r="J17" s="16">
        <f>F17/E17</f>
        <v/>
      </c>
      <c r="K17" s="32" t="inlineStr"/>
    </row>
    <row r="18">
      <c r="A18" s="36" t="inlineStr">
        <is>
          <t>Paolo Cruz</t>
        </is>
      </c>
      <c r="B18" s="35" t="inlineStr">
        <is>
          <t>Manila</t>
        </is>
      </c>
      <c r="C18" s="35" t="inlineStr">
        <is>
          <t>Phones</t>
        </is>
      </c>
      <c r="D18" s="35" t="inlineStr">
        <is>
          <t>09:00</t>
        </is>
      </c>
      <c r="E18" s="35" t="n">
        <v>450</v>
      </c>
      <c r="F18" s="51" t="n">
        <v>470</v>
      </c>
      <c r="G18" s="51" t="n">
        <v>441</v>
      </c>
      <c r="H18" s="35">
        <f>E18-G18</f>
        <v/>
      </c>
      <c r="I18" s="22">
        <f>G18/E18</f>
        <v/>
      </c>
      <c r="J18" s="22">
        <f>F18/E18</f>
        <v/>
      </c>
      <c r="K18" s="36" t="inlineStr">
        <is>
          <t>Stayed on phones through coaching slot</t>
        </is>
      </c>
    </row>
    <row r="19">
      <c r="A19" s="32" t="inlineStr">
        <is>
          <t>Kim Dela Rosa</t>
        </is>
      </c>
      <c r="B19" s="31" t="inlineStr">
        <is>
          <t>Manila</t>
        </is>
      </c>
      <c r="C19" s="31" t="inlineStr">
        <is>
          <t>Chat</t>
        </is>
      </c>
      <c r="D19" s="31" t="inlineStr">
        <is>
          <t>09:30</t>
        </is>
      </c>
      <c r="E19" s="31" t="n">
        <v>450</v>
      </c>
      <c r="F19" s="51" t="n">
        <v>444</v>
      </c>
      <c r="G19" s="51" t="n">
        <v>397</v>
      </c>
      <c r="H19" s="31">
        <f>E19-G19</f>
        <v/>
      </c>
      <c r="I19" s="16">
        <f>G19/E19</f>
        <v/>
      </c>
      <c r="J19" s="16">
        <f>F19/E19</f>
        <v/>
      </c>
      <c r="K19" s="32" t="inlineStr">
        <is>
          <t>Moved to phones 09:30-11:00, not in schedule</t>
        </is>
      </c>
    </row>
    <row r="20">
      <c r="A20" s="36" t="inlineStr">
        <is>
          <t>Carlo Mendoza</t>
        </is>
      </c>
      <c r="B20" s="35" t="inlineStr">
        <is>
          <t>Manila</t>
        </is>
      </c>
      <c r="C20" s="35" t="inlineStr">
        <is>
          <t>Phones</t>
        </is>
      </c>
      <c r="D20" s="35" t="inlineStr">
        <is>
          <t>10:00</t>
        </is>
      </c>
      <c r="E20" s="35" t="n">
        <v>450</v>
      </c>
      <c r="F20" s="51" t="n">
        <v>578</v>
      </c>
      <c r="G20" s="51" t="n">
        <v>431</v>
      </c>
      <c r="H20" s="35">
        <f>E20-G20</f>
        <v/>
      </c>
      <c r="I20" s="22">
        <f>G20/E20</f>
        <v/>
      </c>
      <c r="J20" s="22">
        <f>F20/E20</f>
        <v/>
      </c>
      <c r="K20" s="36" t="inlineStr">
        <is>
          <t>2 hrs voluntary OT, not yet added to schedule</t>
        </is>
      </c>
    </row>
    <row r="21">
      <c r="A21" s="32" t="inlineStr">
        <is>
          <t>Trisha Bautista</t>
        </is>
      </c>
      <c r="B21" s="31" t="inlineStr">
        <is>
          <t>Manila</t>
        </is>
      </c>
      <c r="C21" s="31" t="inlineStr">
        <is>
          <t>Chat</t>
        </is>
      </c>
      <c r="D21" s="31" t="inlineStr">
        <is>
          <t>11:00</t>
        </is>
      </c>
      <c r="E21" s="31" t="n">
        <v>450</v>
      </c>
      <c r="F21" s="51" t="n">
        <v>446</v>
      </c>
      <c r="G21" s="51" t="n">
        <v>404</v>
      </c>
      <c r="H21" s="31">
        <f>E21-G21</f>
        <v/>
      </c>
      <c r="I21" s="16">
        <f>G21/E21</f>
        <v/>
      </c>
      <c r="J21" s="16">
        <f>F21/E21</f>
        <v/>
      </c>
      <c r="K21" s="32" t="inlineStr">
        <is>
          <t>Moved to phones 09:30-11:00, not in schedule</t>
        </is>
      </c>
    </row>
    <row r="22">
      <c r="A22" s="36" t="inlineStr">
        <is>
          <t>Joshua Ramos</t>
        </is>
      </c>
      <c r="B22" s="35" t="inlineStr">
        <is>
          <t>Manila</t>
        </is>
      </c>
      <c r="C22" s="35" t="inlineStr">
        <is>
          <t>Phones</t>
        </is>
      </c>
      <c r="D22" s="35" t="inlineStr">
        <is>
          <t>12:00</t>
        </is>
      </c>
      <c r="E22" s="35" t="n">
        <v>450</v>
      </c>
      <c r="F22" s="51" t="n">
        <v>578</v>
      </c>
      <c r="G22" s="51" t="n">
        <v>438</v>
      </c>
      <c r="H22" s="35">
        <f>E22-G22</f>
        <v/>
      </c>
      <c r="I22" s="22">
        <f>G22/E22</f>
        <v/>
      </c>
      <c r="J22" s="22">
        <f>F22/E22</f>
        <v/>
      </c>
      <c r="K22" s="36" t="inlineStr">
        <is>
          <t>2 hrs voluntary OT, not yet added to schedule</t>
        </is>
      </c>
    </row>
    <row r="23">
      <c r="A23" s="32" t="inlineStr">
        <is>
          <t>Nicole Garcia</t>
        </is>
      </c>
      <c r="B23" s="31" t="inlineStr">
        <is>
          <t>Manila</t>
        </is>
      </c>
      <c r="C23" s="31" t="inlineStr">
        <is>
          <t>Phones</t>
        </is>
      </c>
      <c r="D23" s="31" t="inlineStr">
        <is>
          <t>13:00</t>
        </is>
      </c>
      <c r="E23" s="31" t="n">
        <v>450</v>
      </c>
      <c r="F23" s="51" t="n">
        <v>446</v>
      </c>
      <c r="G23" s="51" t="n">
        <v>417</v>
      </c>
      <c r="H23" s="31">
        <f>E23-G23</f>
        <v/>
      </c>
      <c r="I23" s="16">
        <f>G23/E23</f>
        <v/>
      </c>
      <c r="J23" s="16">
        <f>F23/E23</f>
        <v/>
      </c>
      <c r="K23" s="32" t="inlineStr"/>
    </row>
    <row r="24">
      <c r="A24" s="36" t="inlineStr">
        <is>
          <t>Mark Aquino</t>
        </is>
      </c>
      <c r="B24" s="35" t="inlineStr">
        <is>
          <t>Manila</t>
        </is>
      </c>
      <c r="C24" s="35" t="inlineStr">
        <is>
          <t>Chat</t>
        </is>
      </c>
      <c r="D24" s="35" t="inlineStr">
        <is>
          <t>13:00</t>
        </is>
      </c>
      <c r="E24" s="35" t="n">
        <v>450</v>
      </c>
      <c r="F24" s="51" t="n">
        <v>449</v>
      </c>
      <c r="G24" s="51" t="n">
        <v>420</v>
      </c>
      <c r="H24" s="35">
        <f>E24-G24</f>
        <v/>
      </c>
      <c r="I24" s="22">
        <f>G24/E24</f>
        <v/>
      </c>
      <c r="J24" s="22">
        <f>F24/E24</f>
        <v/>
      </c>
      <c r="K24" s="36" t="inlineStr"/>
    </row>
    <row r="25">
      <c r="A25" s="32" t="inlineStr">
        <is>
          <t>Janine Lim</t>
        </is>
      </c>
      <c r="B25" s="31" t="inlineStr">
        <is>
          <t>Manila</t>
        </is>
      </c>
      <c r="C25" s="31" t="inlineStr">
        <is>
          <t>Phones</t>
        </is>
      </c>
      <c r="D25" s="31" t="inlineStr">
        <is>
          <t>13:30</t>
        </is>
      </c>
      <c r="E25" s="31" t="n">
        <v>450</v>
      </c>
      <c r="F25" s="51" t="n">
        <v>452</v>
      </c>
      <c r="G25" s="51" t="n">
        <v>433</v>
      </c>
      <c r="H25" s="31">
        <f>E25-G25</f>
        <v/>
      </c>
      <c r="I25" s="16">
        <f>G25/E25</f>
        <v/>
      </c>
      <c r="J25" s="16">
        <f>F25/E25</f>
        <v/>
      </c>
      <c r="K25" s="32" t="inlineStr"/>
    </row>
    <row r="26">
      <c r="A26" s="36" t="inlineStr">
        <is>
          <t>Rafael Torres</t>
        </is>
      </c>
      <c r="B26" s="35" t="inlineStr">
        <is>
          <t>Manila</t>
        </is>
      </c>
      <c r="C26" s="35" t="inlineStr">
        <is>
          <t>Chat</t>
        </is>
      </c>
      <c r="D26" s="35" t="inlineStr">
        <is>
          <t>14:00</t>
        </is>
      </c>
      <c r="E26" s="35" t="n">
        <v>450</v>
      </c>
      <c r="F26" s="51" t="n">
        <v>453</v>
      </c>
      <c r="G26" s="51" t="n">
        <v>423</v>
      </c>
      <c r="H26" s="35">
        <f>E26-G26</f>
        <v/>
      </c>
      <c r="I26" s="22">
        <f>G26/E26</f>
        <v/>
      </c>
      <c r="J26" s="22">
        <f>F26/E26</f>
        <v/>
      </c>
      <c r="K26" s="36" t="inlineStr"/>
    </row>
    <row r="27"/>
    <row r="28">
      <c r="A28" s="2" t="inlineStr">
        <is>
          <t>Overtime and ad-hoc queue moves hurt adherence even when they were the right call, so read this tab next to the Action column on Intraday RTA.</t>
        </is>
      </c>
    </row>
  </sheetData>
  <conditionalFormatting sqref="I7:I26">
    <cfRule type="cellIs" priority="1" operator="greaterThanOrEqual" dxfId="1">
      <formula>$F$4</formula>
    </cfRule>
    <cfRule type="cellIs" priority="2" operator="between" dxfId="2">
      <formula>$F$4-0.05</formula>
      <formula>$F$4</formula>
    </cfRule>
    <cfRule type="cellIs" priority="3" operator="lessThan" dxfId="0">
      <formula>$F$4-0.05</formula>
    </cfRule>
  </conditionalFormatting>
  <conditionalFormatting sqref="J7:J26">
    <cfRule type="cellIs" priority="4" operator="between" dxfId="1">
      <formula>0.97</formula>
      <formula>1.03</formula>
    </cfRule>
    <cfRule type="expression" priority="5" dxfId="0">
      <formula>OR(J7&lt;0.93,J7&gt;1.07)</formula>
    </cfRule>
    <cfRule type="cellIs" priority="6" operator="notBetween" dxfId="2">
      <formula>0.97</formula>
      <formula>1.03</formula>
    </cfRule>
  </conditionalFormatting>
  <pageMargins left="0.75" right="0.75" top="1" bottom="1" header="0.5" footer="0.5"/>
</worksheet>
</file>

<file path=xl/worksheets/sheet5.xml><?xml version="1.0" encoding="utf-8"?>
<worksheet xmlns="http://schemas.openxmlformats.org/spreadsheetml/2006/main">
  <sheetPr>
    <tabColor rgb="009AA3AF"/>
    <outlinePr summaryBelow="1" summaryRight="1"/>
    <pageSetUpPr/>
  </sheetPr>
  <dimension ref="A1:BJ40"/>
  <sheetViews>
    <sheetView tabSelected="0"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7" customWidth="1" min="34" max="34"/>
    <col width="7" customWidth="1" min="35" max="35"/>
    <col width="7" customWidth="1" min="36" max="36"/>
    <col width="7" customWidth="1" min="37" max="37"/>
    <col width="7" customWidth="1" min="38" max="38"/>
    <col width="7" customWidth="1" min="39" max="39"/>
    <col width="7" customWidth="1" min="40" max="40"/>
    <col width="7" customWidth="1" min="41" max="41"/>
    <col width="7" customWidth="1" min="42" max="42"/>
    <col width="7" customWidth="1" min="43" max="43"/>
    <col width="7" customWidth="1" min="44" max="44"/>
    <col width="7" customWidth="1" min="45" max="45"/>
    <col width="7" customWidth="1" min="46" max="46"/>
    <col width="7" customWidth="1" min="47" max="47"/>
    <col width="7" customWidth="1" min="48" max="48"/>
    <col width="7"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7" customWidth="1" min="62" max="62"/>
  </cols>
  <sheetData>
    <row r="1">
      <c r="A1" s="52" t="inlineStr">
        <is>
          <t>Interval</t>
        </is>
      </c>
      <c r="B1" s="52" t="inlineStr">
        <is>
          <t>Erlangs</t>
        </is>
      </c>
      <c r="C1" s="53" t="n">
        <v>1</v>
      </c>
      <c r="D1" s="53" t="n">
        <v>2</v>
      </c>
      <c r="E1" s="53" t="n">
        <v>3</v>
      </c>
      <c r="F1" s="53" t="n">
        <v>4</v>
      </c>
      <c r="G1" s="53" t="n">
        <v>5</v>
      </c>
      <c r="H1" s="53" t="n">
        <v>6</v>
      </c>
      <c r="I1" s="53" t="n">
        <v>7</v>
      </c>
      <c r="J1" s="53" t="n">
        <v>8</v>
      </c>
      <c r="K1" s="53" t="n">
        <v>9</v>
      </c>
      <c r="L1" s="53" t="n">
        <v>10</v>
      </c>
      <c r="M1" s="53" t="n">
        <v>11</v>
      </c>
      <c r="N1" s="53" t="n">
        <v>12</v>
      </c>
      <c r="O1" s="53" t="n">
        <v>13</v>
      </c>
      <c r="P1" s="53" t="n">
        <v>14</v>
      </c>
      <c r="Q1" s="53" t="n">
        <v>15</v>
      </c>
      <c r="R1" s="53" t="n">
        <v>16</v>
      </c>
      <c r="S1" s="53" t="n">
        <v>17</v>
      </c>
      <c r="T1" s="53" t="n">
        <v>18</v>
      </c>
      <c r="U1" s="53" t="n">
        <v>19</v>
      </c>
      <c r="V1" s="53" t="n">
        <v>20</v>
      </c>
      <c r="W1" s="53" t="n">
        <v>21</v>
      </c>
      <c r="X1" s="53" t="n">
        <v>22</v>
      </c>
      <c r="Y1" s="53" t="n">
        <v>23</v>
      </c>
      <c r="Z1" s="53" t="n">
        <v>24</v>
      </c>
      <c r="AA1" s="53" t="n">
        <v>25</v>
      </c>
      <c r="AB1" s="53" t="n">
        <v>26</v>
      </c>
      <c r="AC1" s="53" t="n">
        <v>27</v>
      </c>
      <c r="AD1" s="53" t="n">
        <v>28</v>
      </c>
      <c r="AE1" s="53" t="n">
        <v>29</v>
      </c>
      <c r="AF1" s="53" t="n">
        <v>30</v>
      </c>
      <c r="AG1" s="53" t="n">
        <v>31</v>
      </c>
      <c r="AH1" s="53" t="n">
        <v>32</v>
      </c>
      <c r="AI1" s="53" t="n">
        <v>33</v>
      </c>
      <c r="AJ1" s="53" t="n">
        <v>34</v>
      </c>
      <c r="AK1" s="53" t="n">
        <v>35</v>
      </c>
      <c r="AL1" s="53" t="n">
        <v>36</v>
      </c>
      <c r="AM1" s="53" t="n">
        <v>37</v>
      </c>
      <c r="AN1" s="53" t="n">
        <v>38</v>
      </c>
      <c r="AO1" s="53" t="n">
        <v>39</v>
      </c>
      <c r="AP1" s="53" t="n">
        <v>40</v>
      </c>
      <c r="AQ1" s="53" t="n">
        <v>41</v>
      </c>
      <c r="AR1" s="53" t="n">
        <v>42</v>
      </c>
      <c r="AS1" s="53" t="n">
        <v>43</v>
      </c>
      <c r="AT1" s="53" t="n">
        <v>44</v>
      </c>
      <c r="AU1" s="53" t="n">
        <v>45</v>
      </c>
      <c r="AV1" s="53" t="n">
        <v>46</v>
      </c>
      <c r="AW1" s="53" t="n">
        <v>47</v>
      </c>
      <c r="AX1" s="53" t="n">
        <v>48</v>
      </c>
      <c r="AY1" s="53" t="n">
        <v>49</v>
      </c>
      <c r="AZ1" s="53" t="n">
        <v>50</v>
      </c>
      <c r="BA1" s="53" t="n">
        <v>51</v>
      </c>
      <c r="BB1" s="53" t="n">
        <v>52</v>
      </c>
      <c r="BC1" s="53" t="n">
        <v>53</v>
      </c>
      <c r="BD1" s="53" t="n">
        <v>54</v>
      </c>
      <c r="BE1" s="53" t="n">
        <v>55</v>
      </c>
      <c r="BF1" s="53" t="n">
        <v>56</v>
      </c>
      <c r="BG1" s="53" t="n">
        <v>57</v>
      </c>
      <c r="BH1" s="53" t="n">
        <v>58</v>
      </c>
      <c r="BI1" s="53" t="n">
        <v>59</v>
      </c>
      <c r="BJ1" s="53" t="n">
        <v>60</v>
      </c>
    </row>
    <row r="2" hidden="1"/>
    <row r="3" hidden="1"/>
    <row r="4" hidden="1"/>
    <row r="5" hidden="1"/>
    <row r="6" hidden="1"/>
    <row r="7" hidden="1"/>
    <row r="8" hidden="1"/>
    <row r="9" hidden="1"/>
    <row r="10" hidden="1"/>
    <row r="11">
      <c r="A11" s="54">
        <f>'Staffing Calculator'!A11</f>
        <v/>
      </c>
      <c r="B11" s="55">
        <f>'Staffing Calculator'!C11</f>
        <v/>
      </c>
      <c r="C11" s="56">
        <f>IF(C$1&lt;=$B11,0,1-_xlfn.POISSON.DIST(C$1,$B11,FALSE)/(_xlfn.POISSON.DIST(C$1,$B11,FALSE)+(1-$B11/C$1)*_xlfn.POISSON.DIST(C$1-1,$B11,TRUE))*EXP(-(C$1-$B11)*'Staffing Calculator'!$B$5/'Staffing Calculator'!$B$6))</f>
        <v/>
      </c>
      <c r="D11" s="56">
        <f>IF(D$1&lt;=$B11,0,1-_xlfn.POISSON.DIST(D$1,$B11,FALSE)/(_xlfn.POISSON.DIST(D$1,$B11,FALSE)+(1-$B11/D$1)*_xlfn.POISSON.DIST(D$1-1,$B11,TRUE))*EXP(-(D$1-$B11)*'Staffing Calculator'!$B$5/'Staffing Calculator'!$B$6))</f>
        <v/>
      </c>
      <c r="E11" s="56">
        <f>IF(E$1&lt;=$B11,0,1-_xlfn.POISSON.DIST(E$1,$B11,FALSE)/(_xlfn.POISSON.DIST(E$1,$B11,FALSE)+(1-$B11/E$1)*_xlfn.POISSON.DIST(E$1-1,$B11,TRUE))*EXP(-(E$1-$B11)*'Staffing Calculator'!$B$5/'Staffing Calculator'!$B$6))</f>
        <v/>
      </c>
      <c r="F11" s="56">
        <f>IF(F$1&lt;=$B11,0,1-_xlfn.POISSON.DIST(F$1,$B11,FALSE)/(_xlfn.POISSON.DIST(F$1,$B11,FALSE)+(1-$B11/F$1)*_xlfn.POISSON.DIST(F$1-1,$B11,TRUE))*EXP(-(F$1-$B11)*'Staffing Calculator'!$B$5/'Staffing Calculator'!$B$6))</f>
        <v/>
      </c>
      <c r="G11" s="56">
        <f>IF(G$1&lt;=$B11,0,1-_xlfn.POISSON.DIST(G$1,$B11,FALSE)/(_xlfn.POISSON.DIST(G$1,$B11,FALSE)+(1-$B11/G$1)*_xlfn.POISSON.DIST(G$1-1,$B11,TRUE))*EXP(-(G$1-$B11)*'Staffing Calculator'!$B$5/'Staffing Calculator'!$B$6))</f>
        <v/>
      </c>
      <c r="H11" s="56">
        <f>IF(H$1&lt;=$B11,0,1-_xlfn.POISSON.DIST(H$1,$B11,FALSE)/(_xlfn.POISSON.DIST(H$1,$B11,FALSE)+(1-$B11/H$1)*_xlfn.POISSON.DIST(H$1-1,$B11,TRUE))*EXP(-(H$1-$B11)*'Staffing Calculator'!$B$5/'Staffing Calculator'!$B$6))</f>
        <v/>
      </c>
      <c r="I11" s="56">
        <f>IF(I$1&lt;=$B11,0,1-_xlfn.POISSON.DIST(I$1,$B11,FALSE)/(_xlfn.POISSON.DIST(I$1,$B11,FALSE)+(1-$B11/I$1)*_xlfn.POISSON.DIST(I$1-1,$B11,TRUE))*EXP(-(I$1-$B11)*'Staffing Calculator'!$B$5/'Staffing Calculator'!$B$6))</f>
        <v/>
      </c>
      <c r="J11" s="56">
        <f>IF(J$1&lt;=$B11,0,1-_xlfn.POISSON.DIST(J$1,$B11,FALSE)/(_xlfn.POISSON.DIST(J$1,$B11,FALSE)+(1-$B11/J$1)*_xlfn.POISSON.DIST(J$1-1,$B11,TRUE))*EXP(-(J$1-$B11)*'Staffing Calculator'!$B$5/'Staffing Calculator'!$B$6))</f>
        <v/>
      </c>
      <c r="K11" s="56">
        <f>IF(K$1&lt;=$B11,0,1-_xlfn.POISSON.DIST(K$1,$B11,FALSE)/(_xlfn.POISSON.DIST(K$1,$B11,FALSE)+(1-$B11/K$1)*_xlfn.POISSON.DIST(K$1-1,$B11,TRUE))*EXP(-(K$1-$B11)*'Staffing Calculator'!$B$5/'Staffing Calculator'!$B$6))</f>
        <v/>
      </c>
      <c r="L11" s="56">
        <f>IF(L$1&lt;=$B11,0,1-_xlfn.POISSON.DIST(L$1,$B11,FALSE)/(_xlfn.POISSON.DIST(L$1,$B11,FALSE)+(1-$B11/L$1)*_xlfn.POISSON.DIST(L$1-1,$B11,TRUE))*EXP(-(L$1-$B11)*'Staffing Calculator'!$B$5/'Staffing Calculator'!$B$6))</f>
        <v/>
      </c>
      <c r="M11" s="56">
        <f>IF(M$1&lt;=$B11,0,1-_xlfn.POISSON.DIST(M$1,$B11,FALSE)/(_xlfn.POISSON.DIST(M$1,$B11,FALSE)+(1-$B11/M$1)*_xlfn.POISSON.DIST(M$1-1,$B11,TRUE))*EXP(-(M$1-$B11)*'Staffing Calculator'!$B$5/'Staffing Calculator'!$B$6))</f>
        <v/>
      </c>
      <c r="N11" s="56">
        <f>IF(N$1&lt;=$B11,0,1-_xlfn.POISSON.DIST(N$1,$B11,FALSE)/(_xlfn.POISSON.DIST(N$1,$B11,FALSE)+(1-$B11/N$1)*_xlfn.POISSON.DIST(N$1-1,$B11,TRUE))*EXP(-(N$1-$B11)*'Staffing Calculator'!$B$5/'Staffing Calculator'!$B$6))</f>
        <v/>
      </c>
      <c r="O11" s="56">
        <f>IF(O$1&lt;=$B11,0,1-_xlfn.POISSON.DIST(O$1,$B11,FALSE)/(_xlfn.POISSON.DIST(O$1,$B11,FALSE)+(1-$B11/O$1)*_xlfn.POISSON.DIST(O$1-1,$B11,TRUE))*EXP(-(O$1-$B11)*'Staffing Calculator'!$B$5/'Staffing Calculator'!$B$6))</f>
        <v/>
      </c>
      <c r="P11" s="56">
        <f>IF(P$1&lt;=$B11,0,1-_xlfn.POISSON.DIST(P$1,$B11,FALSE)/(_xlfn.POISSON.DIST(P$1,$B11,FALSE)+(1-$B11/P$1)*_xlfn.POISSON.DIST(P$1-1,$B11,TRUE))*EXP(-(P$1-$B11)*'Staffing Calculator'!$B$5/'Staffing Calculator'!$B$6))</f>
        <v/>
      </c>
      <c r="Q11" s="56">
        <f>IF(Q$1&lt;=$B11,0,1-_xlfn.POISSON.DIST(Q$1,$B11,FALSE)/(_xlfn.POISSON.DIST(Q$1,$B11,FALSE)+(1-$B11/Q$1)*_xlfn.POISSON.DIST(Q$1-1,$B11,TRUE))*EXP(-(Q$1-$B11)*'Staffing Calculator'!$B$5/'Staffing Calculator'!$B$6))</f>
        <v/>
      </c>
      <c r="R11" s="56">
        <f>IF(R$1&lt;=$B11,0,1-_xlfn.POISSON.DIST(R$1,$B11,FALSE)/(_xlfn.POISSON.DIST(R$1,$B11,FALSE)+(1-$B11/R$1)*_xlfn.POISSON.DIST(R$1-1,$B11,TRUE))*EXP(-(R$1-$B11)*'Staffing Calculator'!$B$5/'Staffing Calculator'!$B$6))</f>
        <v/>
      </c>
      <c r="S11" s="56">
        <f>IF(S$1&lt;=$B11,0,1-_xlfn.POISSON.DIST(S$1,$B11,FALSE)/(_xlfn.POISSON.DIST(S$1,$B11,FALSE)+(1-$B11/S$1)*_xlfn.POISSON.DIST(S$1-1,$B11,TRUE))*EXP(-(S$1-$B11)*'Staffing Calculator'!$B$5/'Staffing Calculator'!$B$6))</f>
        <v/>
      </c>
      <c r="T11" s="56">
        <f>IF(T$1&lt;=$B11,0,1-_xlfn.POISSON.DIST(T$1,$B11,FALSE)/(_xlfn.POISSON.DIST(T$1,$B11,FALSE)+(1-$B11/T$1)*_xlfn.POISSON.DIST(T$1-1,$B11,TRUE))*EXP(-(T$1-$B11)*'Staffing Calculator'!$B$5/'Staffing Calculator'!$B$6))</f>
        <v/>
      </c>
      <c r="U11" s="56">
        <f>IF(U$1&lt;=$B11,0,1-_xlfn.POISSON.DIST(U$1,$B11,FALSE)/(_xlfn.POISSON.DIST(U$1,$B11,FALSE)+(1-$B11/U$1)*_xlfn.POISSON.DIST(U$1-1,$B11,TRUE))*EXP(-(U$1-$B11)*'Staffing Calculator'!$B$5/'Staffing Calculator'!$B$6))</f>
        <v/>
      </c>
      <c r="V11" s="56">
        <f>IF(V$1&lt;=$B11,0,1-_xlfn.POISSON.DIST(V$1,$B11,FALSE)/(_xlfn.POISSON.DIST(V$1,$B11,FALSE)+(1-$B11/V$1)*_xlfn.POISSON.DIST(V$1-1,$B11,TRUE))*EXP(-(V$1-$B11)*'Staffing Calculator'!$B$5/'Staffing Calculator'!$B$6))</f>
        <v/>
      </c>
      <c r="W11" s="56">
        <f>IF(W$1&lt;=$B11,0,1-_xlfn.POISSON.DIST(W$1,$B11,FALSE)/(_xlfn.POISSON.DIST(W$1,$B11,FALSE)+(1-$B11/W$1)*_xlfn.POISSON.DIST(W$1-1,$B11,TRUE))*EXP(-(W$1-$B11)*'Staffing Calculator'!$B$5/'Staffing Calculator'!$B$6))</f>
        <v/>
      </c>
      <c r="X11" s="56">
        <f>IF(X$1&lt;=$B11,0,1-_xlfn.POISSON.DIST(X$1,$B11,FALSE)/(_xlfn.POISSON.DIST(X$1,$B11,FALSE)+(1-$B11/X$1)*_xlfn.POISSON.DIST(X$1-1,$B11,TRUE))*EXP(-(X$1-$B11)*'Staffing Calculator'!$B$5/'Staffing Calculator'!$B$6))</f>
        <v/>
      </c>
      <c r="Y11" s="56">
        <f>IF(Y$1&lt;=$B11,0,1-_xlfn.POISSON.DIST(Y$1,$B11,FALSE)/(_xlfn.POISSON.DIST(Y$1,$B11,FALSE)+(1-$B11/Y$1)*_xlfn.POISSON.DIST(Y$1-1,$B11,TRUE))*EXP(-(Y$1-$B11)*'Staffing Calculator'!$B$5/'Staffing Calculator'!$B$6))</f>
        <v/>
      </c>
      <c r="Z11" s="56">
        <f>IF(Z$1&lt;=$B11,0,1-_xlfn.POISSON.DIST(Z$1,$B11,FALSE)/(_xlfn.POISSON.DIST(Z$1,$B11,FALSE)+(1-$B11/Z$1)*_xlfn.POISSON.DIST(Z$1-1,$B11,TRUE))*EXP(-(Z$1-$B11)*'Staffing Calculator'!$B$5/'Staffing Calculator'!$B$6))</f>
        <v/>
      </c>
      <c r="AA11" s="56">
        <f>IF(AA$1&lt;=$B11,0,1-_xlfn.POISSON.DIST(AA$1,$B11,FALSE)/(_xlfn.POISSON.DIST(AA$1,$B11,FALSE)+(1-$B11/AA$1)*_xlfn.POISSON.DIST(AA$1-1,$B11,TRUE))*EXP(-(AA$1-$B11)*'Staffing Calculator'!$B$5/'Staffing Calculator'!$B$6))</f>
        <v/>
      </c>
      <c r="AB11" s="56">
        <f>IF(AB$1&lt;=$B11,0,1-_xlfn.POISSON.DIST(AB$1,$B11,FALSE)/(_xlfn.POISSON.DIST(AB$1,$B11,FALSE)+(1-$B11/AB$1)*_xlfn.POISSON.DIST(AB$1-1,$B11,TRUE))*EXP(-(AB$1-$B11)*'Staffing Calculator'!$B$5/'Staffing Calculator'!$B$6))</f>
        <v/>
      </c>
      <c r="AC11" s="56">
        <f>IF(AC$1&lt;=$B11,0,1-_xlfn.POISSON.DIST(AC$1,$B11,FALSE)/(_xlfn.POISSON.DIST(AC$1,$B11,FALSE)+(1-$B11/AC$1)*_xlfn.POISSON.DIST(AC$1-1,$B11,TRUE))*EXP(-(AC$1-$B11)*'Staffing Calculator'!$B$5/'Staffing Calculator'!$B$6))</f>
        <v/>
      </c>
      <c r="AD11" s="56">
        <f>IF(AD$1&lt;=$B11,0,1-_xlfn.POISSON.DIST(AD$1,$B11,FALSE)/(_xlfn.POISSON.DIST(AD$1,$B11,FALSE)+(1-$B11/AD$1)*_xlfn.POISSON.DIST(AD$1-1,$B11,TRUE))*EXP(-(AD$1-$B11)*'Staffing Calculator'!$B$5/'Staffing Calculator'!$B$6))</f>
        <v/>
      </c>
      <c r="AE11" s="56">
        <f>IF(AE$1&lt;=$B11,0,1-_xlfn.POISSON.DIST(AE$1,$B11,FALSE)/(_xlfn.POISSON.DIST(AE$1,$B11,FALSE)+(1-$B11/AE$1)*_xlfn.POISSON.DIST(AE$1-1,$B11,TRUE))*EXP(-(AE$1-$B11)*'Staffing Calculator'!$B$5/'Staffing Calculator'!$B$6))</f>
        <v/>
      </c>
      <c r="AF11" s="56">
        <f>IF(AF$1&lt;=$B11,0,1-_xlfn.POISSON.DIST(AF$1,$B11,FALSE)/(_xlfn.POISSON.DIST(AF$1,$B11,FALSE)+(1-$B11/AF$1)*_xlfn.POISSON.DIST(AF$1-1,$B11,TRUE))*EXP(-(AF$1-$B11)*'Staffing Calculator'!$B$5/'Staffing Calculator'!$B$6))</f>
        <v/>
      </c>
      <c r="AG11" s="56">
        <f>IF(AG$1&lt;=$B11,0,1-_xlfn.POISSON.DIST(AG$1,$B11,FALSE)/(_xlfn.POISSON.DIST(AG$1,$B11,FALSE)+(1-$B11/AG$1)*_xlfn.POISSON.DIST(AG$1-1,$B11,TRUE))*EXP(-(AG$1-$B11)*'Staffing Calculator'!$B$5/'Staffing Calculator'!$B$6))</f>
        <v/>
      </c>
      <c r="AH11" s="56">
        <f>IF(AH$1&lt;=$B11,0,1-_xlfn.POISSON.DIST(AH$1,$B11,FALSE)/(_xlfn.POISSON.DIST(AH$1,$B11,FALSE)+(1-$B11/AH$1)*_xlfn.POISSON.DIST(AH$1-1,$B11,TRUE))*EXP(-(AH$1-$B11)*'Staffing Calculator'!$B$5/'Staffing Calculator'!$B$6))</f>
        <v/>
      </c>
      <c r="AI11" s="56">
        <f>IF(AI$1&lt;=$B11,0,1-_xlfn.POISSON.DIST(AI$1,$B11,FALSE)/(_xlfn.POISSON.DIST(AI$1,$B11,FALSE)+(1-$B11/AI$1)*_xlfn.POISSON.DIST(AI$1-1,$B11,TRUE))*EXP(-(AI$1-$B11)*'Staffing Calculator'!$B$5/'Staffing Calculator'!$B$6))</f>
        <v/>
      </c>
      <c r="AJ11" s="56">
        <f>IF(AJ$1&lt;=$B11,0,1-_xlfn.POISSON.DIST(AJ$1,$B11,FALSE)/(_xlfn.POISSON.DIST(AJ$1,$B11,FALSE)+(1-$B11/AJ$1)*_xlfn.POISSON.DIST(AJ$1-1,$B11,TRUE))*EXP(-(AJ$1-$B11)*'Staffing Calculator'!$B$5/'Staffing Calculator'!$B$6))</f>
        <v/>
      </c>
      <c r="AK11" s="56">
        <f>IF(AK$1&lt;=$B11,0,1-_xlfn.POISSON.DIST(AK$1,$B11,FALSE)/(_xlfn.POISSON.DIST(AK$1,$B11,FALSE)+(1-$B11/AK$1)*_xlfn.POISSON.DIST(AK$1-1,$B11,TRUE))*EXP(-(AK$1-$B11)*'Staffing Calculator'!$B$5/'Staffing Calculator'!$B$6))</f>
        <v/>
      </c>
      <c r="AL11" s="56">
        <f>IF(AL$1&lt;=$B11,0,1-_xlfn.POISSON.DIST(AL$1,$B11,FALSE)/(_xlfn.POISSON.DIST(AL$1,$B11,FALSE)+(1-$B11/AL$1)*_xlfn.POISSON.DIST(AL$1-1,$B11,TRUE))*EXP(-(AL$1-$B11)*'Staffing Calculator'!$B$5/'Staffing Calculator'!$B$6))</f>
        <v/>
      </c>
      <c r="AM11" s="56">
        <f>IF(AM$1&lt;=$B11,0,1-_xlfn.POISSON.DIST(AM$1,$B11,FALSE)/(_xlfn.POISSON.DIST(AM$1,$B11,FALSE)+(1-$B11/AM$1)*_xlfn.POISSON.DIST(AM$1-1,$B11,TRUE))*EXP(-(AM$1-$B11)*'Staffing Calculator'!$B$5/'Staffing Calculator'!$B$6))</f>
        <v/>
      </c>
      <c r="AN11" s="56">
        <f>IF(AN$1&lt;=$B11,0,1-_xlfn.POISSON.DIST(AN$1,$B11,FALSE)/(_xlfn.POISSON.DIST(AN$1,$B11,FALSE)+(1-$B11/AN$1)*_xlfn.POISSON.DIST(AN$1-1,$B11,TRUE))*EXP(-(AN$1-$B11)*'Staffing Calculator'!$B$5/'Staffing Calculator'!$B$6))</f>
        <v/>
      </c>
      <c r="AO11" s="56">
        <f>IF(AO$1&lt;=$B11,0,1-_xlfn.POISSON.DIST(AO$1,$B11,FALSE)/(_xlfn.POISSON.DIST(AO$1,$B11,FALSE)+(1-$B11/AO$1)*_xlfn.POISSON.DIST(AO$1-1,$B11,TRUE))*EXP(-(AO$1-$B11)*'Staffing Calculator'!$B$5/'Staffing Calculator'!$B$6))</f>
        <v/>
      </c>
      <c r="AP11" s="56">
        <f>IF(AP$1&lt;=$B11,0,1-_xlfn.POISSON.DIST(AP$1,$B11,FALSE)/(_xlfn.POISSON.DIST(AP$1,$B11,FALSE)+(1-$B11/AP$1)*_xlfn.POISSON.DIST(AP$1-1,$B11,TRUE))*EXP(-(AP$1-$B11)*'Staffing Calculator'!$B$5/'Staffing Calculator'!$B$6))</f>
        <v/>
      </c>
      <c r="AQ11" s="56">
        <f>IF(AQ$1&lt;=$B11,0,1-_xlfn.POISSON.DIST(AQ$1,$B11,FALSE)/(_xlfn.POISSON.DIST(AQ$1,$B11,FALSE)+(1-$B11/AQ$1)*_xlfn.POISSON.DIST(AQ$1-1,$B11,TRUE))*EXP(-(AQ$1-$B11)*'Staffing Calculator'!$B$5/'Staffing Calculator'!$B$6))</f>
        <v/>
      </c>
      <c r="AR11" s="56">
        <f>IF(AR$1&lt;=$B11,0,1-_xlfn.POISSON.DIST(AR$1,$B11,FALSE)/(_xlfn.POISSON.DIST(AR$1,$B11,FALSE)+(1-$B11/AR$1)*_xlfn.POISSON.DIST(AR$1-1,$B11,TRUE))*EXP(-(AR$1-$B11)*'Staffing Calculator'!$B$5/'Staffing Calculator'!$B$6))</f>
        <v/>
      </c>
      <c r="AS11" s="56">
        <f>IF(AS$1&lt;=$B11,0,1-_xlfn.POISSON.DIST(AS$1,$B11,FALSE)/(_xlfn.POISSON.DIST(AS$1,$B11,FALSE)+(1-$B11/AS$1)*_xlfn.POISSON.DIST(AS$1-1,$B11,TRUE))*EXP(-(AS$1-$B11)*'Staffing Calculator'!$B$5/'Staffing Calculator'!$B$6))</f>
        <v/>
      </c>
      <c r="AT11" s="56">
        <f>IF(AT$1&lt;=$B11,0,1-_xlfn.POISSON.DIST(AT$1,$B11,FALSE)/(_xlfn.POISSON.DIST(AT$1,$B11,FALSE)+(1-$B11/AT$1)*_xlfn.POISSON.DIST(AT$1-1,$B11,TRUE))*EXP(-(AT$1-$B11)*'Staffing Calculator'!$B$5/'Staffing Calculator'!$B$6))</f>
        <v/>
      </c>
      <c r="AU11" s="56">
        <f>IF(AU$1&lt;=$B11,0,1-_xlfn.POISSON.DIST(AU$1,$B11,FALSE)/(_xlfn.POISSON.DIST(AU$1,$B11,FALSE)+(1-$B11/AU$1)*_xlfn.POISSON.DIST(AU$1-1,$B11,TRUE))*EXP(-(AU$1-$B11)*'Staffing Calculator'!$B$5/'Staffing Calculator'!$B$6))</f>
        <v/>
      </c>
      <c r="AV11" s="56">
        <f>IF(AV$1&lt;=$B11,0,1-_xlfn.POISSON.DIST(AV$1,$B11,FALSE)/(_xlfn.POISSON.DIST(AV$1,$B11,FALSE)+(1-$B11/AV$1)*_xlfn.POISSON.DIST(AV$1-1,$B11,TRUE))*EXP(-(AV$1-$B11)*'Staffing Calculator'!$B$5/'Staffing Calculator'!$B$6))</f>
        <v/>
      </c>
      <c r="AW11" s="56">
        <f>IF(AW$1&lt;=$B11,0,1-_xlfn.POISSON.DIST(AW$1,$B11,FALSE)/(_xlfn.POISSON.DIST(AW$1,$B11,FALSE)+(1-$B11/AW$1)*_xlfn.POISSON.DIST(AW$1-1,$B11,TRUE))*EXP(-(AW$1-$B11)*'Staffing Calculator'!$B$5/'Staffing Calculator'!$B$6))</f>
        <v/>
      </c>
      <c r="AX11" s="56">
        <f>IF(AX$1&lt;=$B11,0,1-_xlfn.POISSON.DIST(AX$1,$B11,FALSE)/(_xlfn.POISSON.DIST(AX$1,$B11,FALSE)+(1-$B11/AX$1)*_xlfn.POISSON.DIST(AX$1-1,$B11,TRUE))*EXP(-(AX$1-$B11)*'Staffing Calculator'!$B$5/'Staffing Calculator'!$B$6))</f>
        <v/>
      </c>
      <c r="AY11" s="56">
        <f>IF(AY$1&lt;=$B11,0,1-_xlfn.POISSON.DIST(AY$1,$B11,FALSE)/(_xlfn.POISSON.DIST(AY$1,$B11,FALSE)+(1-$B11/AY$1)*_xlfn.POISSON.DIST(AY$1-1,$B11,TRUE))*EXP(-(AY$1-$B11)*'Staffing Calculator'!$B$5/'Staffing Calculator'!$B$6))</f>
        <v/>
      </c>
      <c r="AZ11" s="56">
        <f>IF(AZ$1&lt;=$B11,0,1-_xlfn.POISSON.DIST(AZ$1,$B11,FALSE)/(_xlfn.POISSON.DIST(AZ$1,$B11,FALSE)+(1-$B11/AZ$1)*_xlfn.POISSON.DIST(AZ$1-1,$B11,TRUE))*EXP(-(AZ$1-$B11)*'Staffing Calculator'!$B$5/'Staffing Calculator'!$B$6))</f>
        <v/>
      </c>
      <c r="BA11" s="56">
        <f>IF(BA$1&lt;=$B11,0,1-_xlfn.POISSON.DIST(BA$1,$B11,FALSE)/(_xlfn.POISSON.DIST(BA$1,$B11,FALSE)+(1-$B11/BA$1)*_xlfn.POISSON.DIST(BA$1-1,$B11,TRUE))*EXP(-(BA$1-$B11)*'Staffing Calculator'!$B$5/'Staffing Calculator'!$B$6))</f>
        <v/>
      </c>
      <c r="BB11" s="56">
        <f>IF(BB$1&lt;=$B11,0,1-_xlfn.POISSON.DIST(BB$1,$B11,FALSE)/(_xlfn.POISSON.DIST(BB$1,$B11,FALSE)+(1-$B11/BB$1)*_xlfn.POISSON.DIST(BB$1-1,$B11,TRUE))*EXP(-(BB$1-$B11)*'Staffing Calculator'!$B$5/'Staffing Calculator'!$B$6))</f>
        <v/>
      </c>
      <c r="BC11" s="56">
        <f>IF(BC$1&lt;=$B11,0,1-_xlfn.POISSON.DIST(BC$1,$B11,FALSE)/(_xlfn.POISSON.DIST(BC$1,$B11,FALSE)+(1-$B11/BC$1)*_xlfn.POISSON.DIST(BC$1-1,$B11,TRUE))*EXP(-(BC$1-$B11)*'Staffing Calculator'!$B$5/'Staffing Calculator'!$B$6))</f>
        <v/>
      </c>
      <c r="BD11" s="56">
        <f>IF(BD$1&lt;=$B11,0,1-_xlfn.POISSON.DIST(BD$1,$B11,FALSE)/(_xlfn.POISSON.DIST(BD$1,$B11,FALSE)+(1-$B11/BD$1)*_xlfn.POISSON.DIST(BD$1-1,$B11,TRUE))*EXP(-(BD$1-$B11)*'Staffing Calculator'!$B$5/'Staffing Calculator'!$B$6))</f>
        <v/>
      </c>
      <c r="BE11" s="56">
        <f>IF(BE$1&lt;=$B11,0,1-_xlfn.POISSON.DIST(BE$1,$B11,FALSE)/(_xlfn.POISSON.DIST(BE$1,$B11,FALSE)+(1-$B11/BE$1)*_xlfn.POISSON.DIST(BE$1-1,$B11,TRUE))*EXP(-(BE$1-$B11)*'Staffing Calculator'!$B$5/'Staffing Calculator'!$B$6))</f>
        <v/>
      </c>
      <c r="BF11" s="56">
        <f>IF(BF$1&lt;=$B11,0,1-_xlfn.POISSON.DIST(BF$1,$B11,FALSE)/(_xlfn.POISSON.DIST(BF$1,$B11,FALSE)+(1-$B11/BF$1)*_xlfn.POISSON.DIST(BF$1-1,$B11,TRUE))*EXP(-(BF$1-$B11)*'Staffing Calculator'!$B$5/'Staffing Calculator'!$B$6))</f>
        <v/>
      </c>
      <c r="BG11" s="56">
        <f>IF(BG$1&lt;=$B11,0,1-_xlfn.POISSON.DIST(BG$1,$B11,FALSE)/(_xlfn.POISSON.DIST(BG$1,$B11,FALSE)+(1-$B11/BG$1)*_xlfn.POISSON.DIST(BG$1-1,$B11,TRUE))*EXP(-(BG$1-$B11)*'Staffing Calculator'!$B$5/'Staffing Calculator'!$B$6))</f>
        <v/>
      </c>
      <c r="BH11" s="56">
        <f>IF(BH$1&lt;=$B11,0,1-_xlfn.POISSON.DIST(BH$1,$B11,FALSE)/(_xlfn.POISSON.DIST(BH$1,$B11,FALSE)+(1-$B11/BH$1)*_xlfn.POISSON.DIST(BH$1-1,$B11,TRUE))*EXP(-(BH$1-$B11)*'Staffing Calculator'!$B$5/'Staffing Calculator'!$B$6))</f>
        <v/>
      </c>
      <c r="BI11" s="56">
        <f>IF(BI$1&lt;=$B11,0,1-_xlfn.POISSON.DIST(BI$1,$B11,FALSE)/(_xlfn.POISSON.DIST(BI$1,$B11,FALSE)+(1-$B11/BI$1)*_xlfn.POISSON.DIST(BI$1-1,$B11,TRUE))*EXP(-(BI$1-$B11)*'Staffing Calculator'!$B$5/'Staffing Calculator'!$B$6))</f>
        <v/>
      </c>
      <c r="BJ11" s="56">
        <f>IF(BJ$1&lt;=$B11,0,1-_xlfn.POISSON.DIST(BJ$1,$B11,FALSE)/(_xlfn.POISSON.DIST(BJ$1,$B11,FALSE)+(1-$B11/BJ$1)*_xlfn.POISSON.DIST(BJ$1-1,$B11,TRUE))*EXP(-(BJ$1-$B11)*'Staffing Calculator'!$B$5/'Staffing Calculator'!$B$6))</f>
        <v/>
      </c>
    </row>
    <row r="12">
      <c r="A12" s="54">
        <f>'Staffing Calculator'!A12</f>
        <v/>
      </c>
      <c r="B12" s="55">
        <f>'Staffing Calculator'!C12</f>
        <v/>
      </c>
      <c r="C12" s="56">
        <f>IF(C$1&lt;=$B12,0,1-_xlfn.POISSON.DIST(C$1,$B12,FALSE)/(_xlfn.POISSON.DIST(C$1,$B12,FALSE)+(1-$B12/C$1)*_xlfn.POISSON.DIST(C$1-1,$B12,TRUE))*EXP(-(C$1-$B12)*'Staffing Calculator'!$B$5/'Staffing Calculator'!$B$6))</f>
        <v/>
      </c>
      <c r="D12" s="56">
        <f>IF(D$1&lt;=$B12,0,1-_xlfn.POISSON.DIST(D$1,$B12,FALSE)/(_xlfn.POISSON.DIST(D$1,$B12,FALSE)+(1-$B12/D$1)*_xlfn.POISSON.DIST(D$1-1,$B12,TRUE))*EXP(-(D$1-$B12)*'Staffing Calculator'!$B$5/'Staffing Calculator'!$B$6))</f>
        <v/>
      </c>
      <c r="E12" s="56">
        <f>IF(E$1&lt;=$B12,0,1-_xlfn.POISSON.DIST(E$1,$B12,FALSE)/(_xlfn.POISSON.DIST(E$1,$B12,FALSE)+(1-$B12/E$1)*_xlfn.POISSON.DIST(E$1-1,$B12,TRUE))*EXP(-(E$1-$B12)*'Staffing Calculator'!$B$5/'Staffing Calculator'!$B$6))</f>
        <v/>
      </c>
      <c r="F12" s="56">
        <f>IF(F$1&lt;=$B12,0,1-_xlfn.POISSON.DIST(F$1,$B12,FALSE)/(_xlfn.POISSON.DIST(F$1,$B12,FALSE)+(1-$B12/F$1)*_xlfn.POISSON.DIST(F$1-1,$B12,TRUE))*EXP(-(F$1-$B12)*'Staffing Calculator'!$B$5/'Staffing Calculator'!$B$6))</f>
        <v/>
      </c>
      <c r="G12" s="56">
        <f>IF(G$1&lt;=$B12,0,1-_xlfn.POISSON.DIST(G$1,$B12,FALSE)/(_xlfn.POISSON.DIST(G$1,$B12,FALSE)+(1-$B12/G$1)*_xlfn.POISSON.DIST(G$1-1,$B12,TRUE))*EXP(-(G$1-$B12)*'Staffing Calculator'!$B$5/'Staffing Calculator'!$B$6))</f>
        <v/>
      </c>
      <c r="H12" s="56">
        <f>IF(H$1&lt;=$B12,0,1-_xlfn.POISSON.DIST(H$1,$B12,FALSE)/(_xlfn.POISSON.DIST(H$1,$B12,FALSE)+(1-$B12/H$1)*_xlfn.POISSON.DIST(H$1-1,$B12,TRUE))*EXP(-(H$1-$B12)*'Staffing Calculator'!$B$5/'Staffing Calculator'!$B$6))</f>
        <v/>
      </c>
      <c r="I12" s="56">
        <f>IF(I$1&lt;=$B12,0,1-_xlfn.POISSON.DIST(I$1,$B12,FALSE)/(_xlfn.POISSON.DIST(I$1,$B12,FALSE)+(1-$B12/I$1)*_xlfn.POISSON.DIST(I$1-1,$B12,TRUE))*EXP(-(I$1-$B12)*'Staffing Calculator'!$B$5/'Staffing Calculator'!$B$6))</f>
        <v/>
      </c>
      <c r="J12" s="56">
        <f>IF(J$1&lt;=$B12,0,1-_xlfn.POISSON.DIST(J$1,$B12,FALSE)/(_xlfn.POISSON.DIST(J$1,$B12,FALSE)+(1-$B12/J$1)*_xlfn.POISSON.DIST(J$1-1,$B12,TRUE))*EXP(-(J$1-$B12)*'Staffing Calculator'!$B$5/'Staffing Calculator'!$B$6))</f>
        <v/>
      </c>
      <c r="K12" s="56">
        <f>IF(K$1&lt;=$B12,0,1-_xlfn.POISSON.DIST(K$1,$B12,FALSE)/(_xlfn.POISSON.DIST(K$1,$B12,FALSE)+(1-$B12/K$1)*_xlfn.POISSON.DIST(K$1-1,$B12,TRUE))*EXP(-(K$1-$B12)*'Staffing Calculator'!$B$5/'Staffing Calculator'!$B$6))</f>
        <v/>
      </c>
      <c r="L12" s="56">
        <f>IF(L$1&lt;=$B12,0,1-_xlfn.POISSON.DIST(L$1,$B12,FALSE)/(_xlfn.POISSON.DIST(L$1,$B12,FALSE)+(1-$B12/L$1)*_xlfn.POISSON.DIST(L$1-1,$B12,TRUE))*EXP(-(L$1-$B12)*'Staffing Calculator'!$B$5/'Staffing Calculator'!$B$6))</f>
        <v/>
      </c>
      <c r="M12" s="56">
        <f>IF(M$1&lt;=$B12,0,1-_xlfn.POISSON.DIST(M$1,$B12,FALSE)/(_xlfn.POISSON.DIST(M$1,$B12,FALSE)+(1-$B12/M$1)*_xlfn.POISSON.DIST(M$1-1,$B12,TRUE))*EXP(-(M$1-$B12)*'Staffing Calculator'!$B$5/'Staffing Calculator'!$B$6))</f>
        <v/>
      </c>
      <c r="N12" s="56">
        <f>IF(N$1&lt;=$B12,0,1-_xlfn.POISSON.DIST(N$1,$B12,FALSE)/(_xlfn.POISSON.DIST(N$1,$B12,FALSE)+(1-$B12/N$1)*_xlfn.POISSON.DIST(N$1-1,$B12,TRUE))*EXP(-(N$1-$B12)*'Staffing Calculator'!$B$5/'Staffing Calculator'!$B$6))</f>
        <v/>
      </c>
      <c r="O12" s="56">
        <f>IF(O$1&lt;=$B12,0,1-_xlfn.POISSON.DIST(O$1,$B12,FALSE)/(_xlfn.POISSON.DIST(O$1,$B12,FALSE)+(1-$B12/O$1)*_xlfn.POISSON.DIST(O$1-1,$B12,TRUE))*EXP(-(O$1-$B12)*'Staffing Calculator'!$B$5/'Staffing Calculator'!$B$6))</f>
        <v/>
      </c>
      <c r="P12" s="56">
        <f>IF(P$1&lt;=$B12,0,1-_xlfn.POISSON.DIST(P$1,$B12,FALSE)/(_xlfn.POISSON.DIST(P$1,$B12,FALSE)+(1-$B12/P$1)*_xlfn.POISSON.DIST(P$1-1,$B12,TRUE))*EXP(-(P$1-$B12)*'Staffing Calculator'!$B$5/'Staffing Calculator'!$B$6))</f>
        <v/>
      </c>
      <c r="Q12" s="56">
        <f>IF(Q$1&lt;=$B12,0,1-_xlfn.POISSON.DIST(Q$1,$B12,FALSE)/(_xlfn.POISSON.DIST(Q$1,$B12,FALSE)+(1-$B12/Q$1)*_xlfn.POISSON.DIST(Q$1-1,$B12,TRUE))*EXP(-(Q$1-$B12)*'Staffing Calculator'!$B$5/'Staffing Calculator'!$B$6))</f>
        <v/>
      </c>
      <c r="R12" s="56">
        <f>IF(R$1&lt;=$B12,0,1-_xlfn.POISSON.DIST(R$1,$B12,FALSE)/(_xlfn.POISSON.DIST(R$1,$B12,FALSE)+(1-$B12/R$1)*_xlfn.POISSON.DIST(R$1-1,$B12,TRUE))*EXP(-(R$1-$B12)*'Staffing Calculator'!$B$5/'Staffing Calculator'!$B$6))</f>
        <v/>
      </c>
      <c r="S12" s="56">
        <f>IF(S$1&lt;=$B12,0,1-_xlfn.POISSON.DIST(S$1,$B12,FALSE)/(_xlfn.POISSON.DIST(S$1,$B12,FALSE)+(1-$B12/S$1)*_xlfn.POISSON.DIST(S$1-1,$B12,TRUE))*EXP(-(S$1-$B12)*'Staffing Calculator'!$B$5/'Staffing Calculator'!$B$6))</f>
        <v/>
      </c>
      <c r="T12" s="56">
        <f>IF(T$1&lt;=$B12,0,1-_xlfn.POISSON.DIST(T$1,$B12,FALSE)/(_xlfn.POISSON.DIST(T$1,$B12,FALSE)+(1-$B12/T$1)*_xlfn.POISSON.DIST(T$1-1,$B12,TRUE))*EXP(-(T$1-$B12)*'Staffing Calculator'!$B$5/'Staffing Calculator'!$B$6))</f>
        <v/>
      </c>
      <c r="U12" s="56">
        <f>IF(U$1&lt;=$B12,0,1-_xlfn.POISSON.DIST(U$1,$B12,FALSE)/(_xlfn.POISSON.DIST(U$1,$B12,FALSE)+(1-$B12/U$1)*_xlfn.POISSON.DIST(U$1-1,$B12,TRUE))*EXP(-(U$1-$B12)*'Staffing Calculator'!$B$5/'Staffing Calculator'!$B$6))</f>
        <v/>
      </c>
      <c r="V12" s="56">
        <f>IF(V$1&lt;=$B12,0,1-_xlfn.POISSON.DIST(V$1,$B12,FALSE)/(_xlfn.POISSON.DIST(V$1,$B12,FALSE)+(1-$B12/V$1)*_xlfn.POISSON.DIST(V$1-1,$B12,TRUE))*EXP(-(V$1-$B12)*'Staffing Calculator'!$B$5/'Staffing Calculator'!$B$6))</f>
        <v/>
      </c>
      <c r="W12" s="56">
        <f>IF(W$1&lt;=$B12,0,1-_xlfn.POISSON.DIST(W$1,$B12,FALSE)/(_xlfn.POISSON.DIST(W$1,$B12,FALSE)+(1-$B12/W$1)*_xlfn.POISSON.DIST(W$1-1,$B12,TRUE))*EXP(-(W$1-$B12)*'Staffing Calculator'!$B$5/'Staffing Calculator'!$B$6))</f>
        <v/>
      </c>
      <c r="X12" s="56">
        <f>IF(X$1&lt;=$B12,0,1-_xlfn.POISSON.DIST(X$1,$B12,FALSE)/(_xlfn.POISSON.DIST(X$1,$B12,FALSE)+(1-$B12/X$1)*_xlfn.POISSON.DIST(X$1-1,$B12,TRUE))*EXP(-(X$1-$B12)*'Staffing Calculator'!$B$5/'Staffing Calculator'!$B$6))</f>
        <v/>
      </c>
      <c r="Y12" s="56">
        <f>IF(Y$1&lt;=$B12,0,1-_xlfn.POISSON.DIST(Y$1,$B12,FALSE)/(_xlfn.POISSON.DIST(Y$1,$B12,FALSE)+(1-$B12/Y$1)*_xlfn.POISSON.DIST(Y$1-1,$B12,TRUE))*EXP(-(Y$1-$B12)*'Staffing Calculator'!$B$5/'Staffing Calculator'!$B$6))</f>
        <v/>
      </c>
      <c r="Z12" s="56">
        <f>IF(Z$1&lt;=$B12,0,1-_xlfn.POISSON.DIST(Z$1,$B12,FALSE)/(_xlfn.POISSON.DIST(Z$1,$B12,FALSE)+(1-$B12/Z$1)*_xlfn.POISSON.DIST(Z$1-1,$B12,TRUE))*EXP(-(Z$1-$B12)*'Staffing Calculator'!$B$5/'Staffing Calculator'!$B$6))</f>
        <v/>
      </c>
      <c r="AA12" s="56">
        <f>IF(AA$1&lt;=$B12,0,1-_xlfn.POISSON.DIST(AA$1,$B12,FALSE)/(_xlfn.POISSON.DIST(AA$1,$B12,FALSE)+(1-$B12/AA$1)*_xlfn.POISSON.DIST(AA$1-1,$B12,TRUE))*EXP(-(AA$1-$B12)*'Staffing Calculator'!$B$5/'Staffing Calculator'!$B$6))</f>
        <v/>
      </c>
      <c r="AB12" s="56">
        <f>IF(AB$1&lt;=$B12,0,1-_xlfn.POISSON.DIST(AB$1,$B12,FALSE)/(_xlfn.POISSON.DIST(AB$1,$B12,FALSE)+(1-$B12/AB$1)*_xlfn.POISSON.DIST(AB$1-1,$B12,TRUE))*EXP(-(AB$1-$B12)*'Staffing Calculator'!$B$5/'Staffing Calculator'!$B$6))</f>
        <v/>
      </c>
      <c r="AC12" s="56">
        <f>IF(AC$1&lt;=$B12,0,1-_xlfn.POISSON.DIST(AC$1,$B12,FALSE)/(_xlfn.POISSON.DIST(AC$1,$B12,FALSE)+(1-$B12/AC$1)*_xlfn.POISSON.DIST(AC$1-1,$B12,TRUE))*EXP(-(AC$1-$B12)*'Staffing Calculator'!$B$5/'Staffing Calculator'!$B$6))</f>
        <v/>
      </c>
      <c r="AD12" s="56">
        <f>IF(AD$1&lt;=$B12,0,1-_xlfn.POISSON.DIST(AD$1,$B12,FALSE)/(_xlfn.POISSON.DIST(AD$1,$B12,FALSE)+(1-$B12/AD$1)*_xlfn.POISSON.DIST(AD$1-1,$B12,TRUE))*EXP(-(AD$1-$B12)*'Staffing Calculator'!$B$5/'Staffing Calculator'!$B$6))</f>
        <v/>
      </c>
      <c r="AE12" s="56">
        <f>IF(AE$1&lt;=$B12,0,1-_xlfn.POISSON.DIST(AE$1,$B12,FALSE)/(_xlfn.POISSON.DIST(AE$1,$B12,FALSE)+(1-$B12/AE$1)*_xlfn.POISSON.DIST(AE$1-1,$B12,TRUE))*EXP(-(AE$1-$B12)*'Staffing Calculator'!$B$5/'Staffing Calculator'!$B$6))</f>
        <v/>
      </c>
      <c r="AF12" s="56">
        <f>IF(AF$1&lt;=$B12,0,1-_xlfn.POISSON.DIST(AF$1,$B12,FALSE)/(_xlfn.POISSON.DIST(AF$1,$B12,FALSE)+(1-$B12/AF$1)*_xlfn.POISSON.DIST(AF$1-1,$B12,TRUE))*EXP(-(AF$1-$B12)*'Staffing Calculator'!$B$5/'Staffing Calculator'!$B$6))</f>
        <v/>
      </c>
      <c r="AG12" s="56">
        <f>IF(AG$1&lt;=$B12,0,1-_xlfn.POISSON.DIST(AG$1,$B12,FALSE)/(_xlfn.POISSON.DIST(AG$1,$B12,FALSE)+(1-$B12/AG$1)*_xlfn.POISSON.DIST(AG$1-1,$B12,TRUE))*EXP(-(AG$1-$B12)*'Staffing Calculator'!$B$5/'Staffing Calculator'!$B$6))</f>
        <v/>
      </c>
      <c r="AH12" s="56">
        <f>IF(AH$1&lt;=$B12,0,1-_xlfn.POISSON.DIST(AH$1,$B12,FALSE)/(_xlfn.POISSON.DIST(AH$1,$B12,FALSE)+(1-$B12/AH$1)*_xlfn.POISSON.DIST(AH$1-1,$B12,TRUE))*EXP(-(AH$1-$B12)*'Staffing Calculator'!$B$5/'Staffing Calculator'!$B$6))</f>
        <v/>
      </c>
      <c r="AI12" s="56">
        <f>IF(AI$1&lt;=$B12,0,1-_xlfn.POISSON.DIST(AI$1,$B12,FALSE)/(_xlfn.POISSON.DIST(AI$1,$B12,FALSE)+(1-$B12/AI$1)*_xlfn.POISSON.DIST(AI$1-1,$B12,TRUE))*EXP(-(AI$1-$B12)*'Staffing Calculator'!$B$5/'Staffing Calculator'!$B$6))</f>
        <v/>
      </c>
      <c r="AJ12" s="56">
        <f>IF(AJ$1&lt;=$B12,0,1-_xlfn.POISSON.DIST(AJ$1,$B12,FALSE)/(_xlfn.POISSON.DIST(AJ$1,$B12,FALSE)+(1-$B12/AJ$1)*_xlfn.POISSON.DIST(AJ$1-1,$B12,TRUE))*EXP(-(AJ$1-$B12)*'Staffing Calculator'!$B$5/'Staffing Calculator'!$B$6))</f>
        <v/>
      </c>
      <c r="AK12" s="56">
        <f>IF(AK$1&lt;=$B12,0,1-_xlfn.POISSON.DIST(AK$1,$B12,FALSE)/(_xlfn.POISSON.DIST(AK$1,$B12,FALSE)+(1-$B12/AK$1)*_xlfn.POISSON.DIST(AK$1-1,$B12,TRUE))*EXP(-(AK$1-$B12)*'Staffing Calculator'!$B$5/'Staffing Calculator'!$B$6))</f>
        <v/>
      </c>
      <c r="AL12" s="56">
        <f>IF(AL$1&lt;=$B12,0,1-_xlfn.POISSON.DIST(AL$1,$B12,FALSE)/(_xlfn.POISSON.DIST(AL$1,$B12,FALSE)+(1-$B12/AL$1)*_xlfn.POISSON.DIST(AL$1-1,$B12,TRUE))*EXP(-(AL$1-$B12)*'Staffing Calculator'!$B$5/'Staffing Calculator'!$B$6))</f>
        <v/>
      </c>
      <c r="AM12" s="56">
        <f>IF(AM$1&lt;=$B12,0,1-_xlfn.POISSON.DIST(AM$1,$B12,FALSE)/(_xlfn.POISSON.DIST(AM$1,$B12,FALSE)+(1-$B12/AM$1)*_xlfn.POISSON.DIST(AM$1-1,$B12,TRUE))*EXP(-(AM$1-$B12)*'Staffing Calculator'!$B$5/'Staffing Calculator'!$B$6))</f>
        <v/>
      </c>
      <c r="AN12" s="56">
        <f>IF(AN$1&lt;=$B12,0,1-_xlfn.POISSON.DIST(AN$1,$B12,FALSE)/(_xlfn.POISSON.DIST(AN$1,$B12,FALSE)+(1-$B12/AN$1)*_xlfn.POISSON.DIST(AN$1-1,$B12,TRUE))*EXP(-(AN$1-$B12)*'Staffing Calculator'!$B$5/'Staffing Calculator'!$B$6))</f>
        <v/>
      </c>
      <c r="AO12" s="56">
        <f>IF(AO$1&lt;=$B12,0,1-_xlfn.POISSON.DIST(AO$1,$B12,FALSE)/(_xlfn.POISSON.DIST(AO$1,$B12,FALSE)+(1-$B12/AO$1)*_xlfn.POISSON.DIST(AO$1-1,$B12,TRUE))*EXP(-(AO$1-$B12)*'Staffing Calculator'!$B$5/'Staffing Calculator'!$B$6))</f>
        <v/>
      </c>
      <c r="AP12" s="56">
        <f>IF(AP$1&lt;=$B12,0,1-_xlfn.POISSON.DIST(AP$1,$B12,FALSE)/(_xlfn.POISSON.DIST(AP$1,$B12,FALSE)+(1-$B12/AP$1)*_xlfn.POISSON.DIST(AP$1-1,$B12,TRUE))*EXP(-(AP$1-$B12)*'Staffing Calculator'!$B$5/'Staffing Calculator'!$B$6))</f>
        <v/>
      </c>
      <c r="AQ12" s="56">
        <f>IF(AQ$1&lt;=$B12,0,1-_xlfn.POISSON.DIST(AQ$1,$B12,FALSE)/(_xlfn.POISSON.DIST(AQ$1,$B12,FALSE)+(1-$B12/AQ$1)*_xlfn.POISSON.DIST(AQ$1-1,$B12,TRUE))*EXP(-(AQ$1-$B12)*'Staffing Calculator'!$B$5/'Staffing Calculator'!$B$6))</f>
        <v/>
      </c>
      <c r="AR12" s="56">
        <f>IF(AR$1&lt;=$B12,0,1-_xlfn.POISSON.DIST(AR$1,$B12,FALSE)/(_xlfn.POISSON.DIST(AR$1,$B12,FALSE)+(1-$B12/AR$1)*_xlfn.POISSON.DIST(AR$1-1,$B12,TRUE))*EXP(-(AR$1-$B12)*'Staffing Calculator'!$B$5/'Staffing Calculator'!$B$6))</f>
        <v/>
      </c>
      <c r="AS12" s="56">
        <f>IF(AS$1&lt;=$B12,0,1-_xlfn.POISSON.DIST(AS$1,$B12,FALSE)/(_xlfn.POISSON.DIST(AS$1,$B12,FALSE)+(1-$B12/AS$1)*_xlfn.POISSON.DIST(AS$1-1,$B12,TRUE))*EXP(-(AS$1-$B12)*'Staffing Calculator'!$B$5/'Staffing Calculator'!$B$6))</f>
        <v/>
      </c>
      <c r="AT12" s="56">
        <f>IF(AT$1&lt;=$B12,0,1-_xlfn.POISSON.DIST(AT$1,$B12,FALSE)/(_xlfn.POISSON.DIST(AT$1,$B12,FALSE)+(1-$B12/AT$1)*_xlfn.POISSON.DIST(AT$1-1,$B12,TRUE))*EXP(-(AT$1-$B12)*'Staffing Calculator'!$B$5/'Staffing Calculator'!$B$6))</f>
        <v/>
      </c>
      <c r="AU12" s="56">
        <f>IF(AU$1&lt;=$B12,0,1-_xlfn.POISSON.DIST(AU$1,$B12,FALSE)/(_xlfn.POISSON.DIST(AU$1,$B12,FALSE)+(1-$B12/AU$1)*_xlfn.POISSON.DIST(AU$1-1,$B12,TRUE))*EXP(-(AU$1-$B12)*'Staffing Calculator'!$B$5/'Staffing Calculator'!$B$6))</f>
        <v/>
      </c>
      <c r="AV12" s="56">
        <f>IF(AV$1&lt;=$B12,0,1-_xlfn.POISSON.DIST(AV$1,$B12,FALSE)/(_xlfn.POISSON.DIST(AV$1,$B12,FALSE)+(1-$B12/AV$1)*_xlfn.POISSON.DIST(AV$1-1,$B12,TRUE))*EXP(-(AV$1-$B12)*'Staffing Calculator'!$B$5/'Staffing Calculator'!$B$6))</f>
        <v/>
      </c>
      <c r="AW12" s="56">
        <f>IF(AW$1&lt;=$B12,0,1-_xlfn.POISSON.DIST(AW$1,$B12,FALSE)/(_xlfn.POISSON.DIST(AW$1,$B12,FALSE)+(1-$B12/AW$1)*_xlfn.POISSON.DIST(AW$1-1,$B12,TRUE))*EXP(-(AW$1-$B12)*'Staffing Calculator'!$B$5/'Staffing Calculator'!$B$6))</f>
        <v/>
      </c>
      <c r="AX12" s="56">
        <f>IF(AX$1&lt;=$B12,0,1-_xlfn.POISSON.DIST(AX$1,$B12,FALSE)/(_xlfn.POISSON.DIST(AX$1,$B12,FALSE)+(1-$B12/AX$1)*_xlfn.POISSON.DIST(AX$1-1,$B12,TRUE))*EXP(-(AX$1-$B12)*'Staffing Calculator'!$B$5/'Staffing Calculator'!$B$6))</f>
        <v/>
      </c>
      <c r="AY12" s="56">
        <f>IF(AY$1&lt;=$B12,0,1-_xlfn.POISSON.DIST(AY$1,$B12,FALSE)/(_xlfn.POISSON.DIST(AY$1,$B12,FALSE)+(1-$B12/AY$1)*_xlfn.POISSON.DIST(AY$1-1,$B12,TRUE))*EXP(-(AY$1-$B12)*'Staffing Calculator'!$B$5/'Staffing Calculator'!$B$6))</f>
        <v/>
      </c>
      <c r="AZ12" s="56">
        <f>IF(AZ$1&lt;=$B12,0,1-_xlfn.POISSON.DIST(AZ$1,$B12,FALSE)/(_xlfn.POISSON.DIST(AZ$1,$B12,FALSE)+(1-$B12/AZ$1)*_xlfn.POISSON.DIST(AZ$1-1,$B12,TRUE))*EXP(-(AZ$1-$B12)*'Staffing Calculator'!$B$5/'Staffing Calculator'!$B$6))</f>
        <v/>
      </c>
      <c r="BA12" s="56">
        <f>IF(BA$1&lt;=$B12,0,1-_xlfn.POISSON.DIST(BA$1,$B12,FALSE)/(_xlfn.POISSON.DIST(BA$1,$B12,FALSE)+(1-$B12/BA$1)*_xlfn.POISSON.DIST(BA$1-1,$B12,TRUE))*EXP(-(BA$1-$B12)*'Staffing Calculator'!$B$5/'Staffing Calculator'!$B$6))</f>
        <v/>
      </c>
      <c r="BB12" s="56">
        <f>IF(BB$1&lt;=$B12,0,1-_xlfn.POISSON.DIST(BB$1,$B12,FALSE)/(_xlfn.POISSON.DIST(BB$1,$B12,FALSE)+(1-$B12/BB$1)*_xlfn.POISSON.DIST(BB$1-1,$B12,TRUE))*EXP(-(BB$1-$B12)*'Staffing Calculator'!$B$5/'Staffing Calculator'!$B$6))</f>
        <v/>
      </c>
      <c r="BC12" s="56">
        <f>IF(BC$1&lt;=$B12,0,1-_xlfn.POISSON.DIST(BC$1,$B12,FALSE)/(_xlfn.POISSON.DIST(BC$1,$B12,FALSE)+(1-$B12/BC$1)*_xlfn.POISSON.DIST(BC$1-1,$B12,TRUE))*EXP(-(BC$1-$B12)*'Staffing Calculator'!$B$5/'Staffing Calculator'!$B$6))</f>
        <v/>
      </c>
      <c r="BD12" s="56">
        <f>IF(BD$1&lt;=$B12,0,1-_xlfn.POISSON.DIST(BD$1,$B12,FALSE)/(_xlfn.POISSON.DIST(BD$1,$B12,FALSE)+(1-$B12/BD$1)*_xlfn.POISSON.DIST(BD$1-1,$B12,TRUE))*EXP(-(BD$1-$B12)*'Staffing Calculator'!$B$5/'Staffing Calculator'!$B$6))</f>
        <v/>
      </c>
      <c r="BE12" s="56">
        <f>IF(BE$1&lt;=$B12,0,1-_xlfn.POISSON.DIST(BE$1,$B12,FALSE)/(_xlfn.POISSON.DIST(BE$1,$B12,FALSE)+(1-$B12/BE$1)*_xlfn.POISSON.DIST(BE$1-1,$B12,TRUE))*EXP(-(BE$1-$B12)*'Staffing Calculator'!$B$5/'Staffing Calculator'!$B$6))</f>
        <v/>
      </c>
      <c r="BF12" s="56">
        <f>IF(BF$1&lt;=$B12,0,1-_xlfn.POISSON.DIST(BF$1,$B12,FALSE)/(_xlfn.POISSON.DIST(BF$1,$B12,FALSE)+(1-$B12/BF$1)*_xlfn.POISSON.DIST(BF$1-1,$B12,TRUE))*EXP(-(BF$1-$B12)*'Staffing Calculator'!$B$5/'Staffing Calculator'!$B$6))</f>
        <v/>
      </c>
      <c r="BG12" s="56">
        <f>IF(BG$1&lt;=$B12,0,1-_xlfn.POISSON.DIST(BG$1,$B12,FALSE)/(_xlfn.POISSON.DIST(BG$1,$B12,FALSE)+(1-$B12/BG$1)*_xlfn.POISSON.DIST(BG$1-1,$B12,TRUE))*EXP(-(BG$1-$B12)*'Staffing Calculator'!$B$5/'Staffing Calculator'!$B$6))</f>
        <v/>
      </c>
      <c r="BH12" s="56">
        <f>IF(BH$1&lt;=$B12,0,1-_xlfn.POISSON.DIST(BH$1,$B12,FALSE)/(_xlfn.POISSON.DIST(BH$1,$B12,FALSE)+(1-$B12/BH$1)*_xlfn.POISSON.DIST(BH$1-1,$B12,TRUE))*EXP(-(BH$1-$B12)*'Staffing Calculator'!$B$5/'Staffing Calculator'!$B$6))</f>
        <v/>
      </c>
      <c r="BI12" s="56">
        <f>IF(BI$1&lt;=$B12,0,1-_xlfn.POISSON.DIST(BI$1,$B12,FALSE)/(_xlfn.POISSON.DIST(BI$1,$B12,FALSE)+(1-$B12/BI$1)*_xlfn.POISSON.DIST(BI$1-1,$B12,TRUE))*EXP(-(BI$1-$B12)*'Staffing Calculator'!$B$5/'Staffing Calculator'!$B$6))</f>
        <v/>
      </c>
      <c r="BJ12" s="56">
        <f>IF(BJ$1&lt;=$B12,0,1-_xlfn.POISSON.DIST(BJ$1,$B12,FALSE)/(_xlfn.POISSON.DIST(BJ$1,$B12,FALSE)+(1-$B12/BJ$1)*_xlfn.POISSON.DIST(BJ$1-1,$B12,TRUE))*EXP(-(BJ$1-$B12)*'Staffing Calculator'!$B$5/'Staffing Calculator'!$B$6))</f>
        <v/>
      </c>
    </row>
    <row r="13">
      <c r="A13" s="54">
        <f>'Staffing Calculator'!A13</f>
        <v/>
      </c>
      <c r="B13" s="55">
        <f>'Staffing Calculator'!C13</f>
        <v/>
      </c>
      <c r="C13" s="56">
        <f>IF(C$1&lt;=$B13,0,1-_xlfn.POISSON.DIST(C$1,$B13,FALSE)/(_xlfn.POISSON.DIST(C$1,$B13,FALSE)+(1-$B13/C$1)*_xlfn.POISSON.DIST(C$1-1,$B13,TRUE))*EXP(-(C$1-$B13)*'Staffing Calculator'!$B$5/'Staffing Calculator'!$B$6))</f>
        <v/>
      </c>
      <c r="D13" s="56">
        <f>IF(D$1&lt;=$B13,0,1-_xlfn.POISSON.DIST(D$1,$B13,FALSE)/(_xlfn.POISSON.DIST(D$1,$B13,FALSE)+(1-$B13/D$1)*_xlfn.POISSON.DIST(D$1-1,$B13,TRUE))*EXP(-(D$1-$B13)*'Staffing Calculator'!$B$5/'Staffing Calculator'!$B$6))</f>
        <v/>
      </c>
      <c r="E13" s="56">
        <f>IF(E$1&lt;=$B13,0,1-_xlfn.POISSON.DIST(E$1,$B13,FALSE)/(_xlfn.POISSON.DIST(E$1,$B13,FALSE)+(1-$B13/E$1)*_xlfn.POISSON.DIST(E$1-1,$B13,TRUE))*EXP(-(E$1-$B13)*'Staffing Calculator'!$B$5/'Staffing Calculator'!$B$6))</f>
        <v/>
      </c>
      <c r="F13" s="56">
        <f>IF(F$1&lt;=$B13,0,1-_xlfn.POISSON.DIST(F$1,$B13,FALSE)/(_xlfn.POISSON.DIST(F$1,$B13,FALSE)+(1-$B13/F$1)*_xlfn.POISSON.DIST(F$1-1,$B13,TRUE))*EXP(-(F$1-$B13)*'Staffing Calculator'!$B$5/'Staffing Calculator'!$B$6))</f>
        <v/>
      </c>
      <c r="G13" s="56">
        <f>IF(G$1&lt;=$B13,0,1-_xlfn.POISSON.DIST(G$1,$B13,FALSE)/(_xlfn.POISSON.DIST(G$1,$B13,FALSE)+(1-$B13/G$1)*_xlfn.POISSON.DIST(G$1-1,$B13,TRUE))*EXP(-(G$1-$B13)*'Staffing Calculator'!$B$5/'Staffing Calculator'!$B$6))</f>
        <v/>
      </c>
      <c r="H13" s="56">
        <f>IF(H$1&lt;=$B13,0,1-_xlfn.POISSON.DIST(H$1,$B13,FALSE)/(_xlfn.POISSON.DIST(H$1,$B13,FALSE)+(1-$B13/H$1)*_xlfn.POISSON.DIST(H$1-1,$B13,TRUE))*EXP(-(H$1-$B13)*'Staffing Calculator'!$B$5/'Staffing Calculator'!$B$6))</f>
        <v/>
      </c>
      <c r="I13" s="56">
        <f>IF(I$1&lt;=$B13,0,1-_xlfn.POISSON.DIST(I$1,$B13,FALSE)/(_xlfn.POISSON.DIST(I$1,$B13,FALSE)+(1-$B13/I$1)*_xlfn.POISSON.DIST(I$1-1,$B13,TRUE))*EXP(-(I$1-$B13)*'Staffing Calculator'!$B$5/'Staffing Calculator'!$B$6))</f>
        <v/>
      </c>
      <c r="J13" s="56">
        <f>IF(J$1&lt;=$B13,0,1-_xlfn.POISSON.DIST(J$1,$B13,FALSE)/(_xlfn.POISSON.DIST(J$1,$B13,FALSE)+(1-$B13/J$1)*_xlfn.POISSON.DIST(J$1-1,$B13,TRUE))*EXP(-(J$1-$B13)*'Staffing Calculator'!$B$5/'Staffing Calculator'!$B$6))</f>
        <v/>
      </c>
      <c r="K13" s="56">
        <f>IF(K$1&lt;=$B13,0,1-_xlfn.POISSON.DIST(K$1,$B13,FALSE)/(_xlfn.POISSON.DIST(K$1,$B13,FALSE)+(1-$B13/K$1)*_xlfn.POISSON.DIST(K$1-1,$B13,TRUE))*EXP(-(K$1-$B13)*'Staffing Calculator'!$B$5/'Staffing Calculator'!$B$6))</f>
        <v/>
      </c>
      <c r="L13" s="56">
        <f>IF(L$1&lt;=$B13,0,1-_xlfn.POISSON.DIST(L$1,$B13,FALSE)/(_xlfn.POISSON.DIST(L$1,$B13,FALSE)+(1-$B13/L$1)*_xlfn.POISSON.DIST(L$1-1,$B13,TRUE))*EXP(-(L$1-$B13)*'Staffing Calculator'!$B$5/'Staffing Calculator'!$B$6))</f>
        <v/>
      </c>
      <c r="M13" s="56">
        <f>IF(M$1&lt;=$B13,0,1-_xlfn.POISSON.DIST(M$1,$B13,FALSE)/(_xlfn.POISSON.DIST(M$1,$B13,FALSE)+(1-$B13/M$1)*_xlfn.POISSON.DIST(M$1-1,$B13,TRUE))*EXP(-(M$1-$B13)*'Staffing Calculator'!$B$5/'Staffing Calculator'!$B$6))</f>
        <v/>
      </c>
      <c r="N13" s="56">
        <f>IF(N$1&lt;=$B13,0,1-_xlfn.POISSON.DIST(N$1,$B13,FALSE)/(_xlfn.POISSON.DIST(N$1,$B13,FALSE)+(1-$B13/N$1)*_xlfn.POISSON.DIST(N$1-1,$B13,TRUE))*EXP(-(N$1-$B13)*'Staffing Calculator'!$B$5/'Staffing Calculator'!$B$6))</f>
        <v/>
      </c>
      <c r="O13" s="56">
        <f>IF(O$1&lt;=$B13,0,1-_xlfn.POISSON.DIST(O$1,$B13,FALSE)/(_xlfn.POISSON.DIST(O$1,$B13,FALSE)+(1-$B13/O$1)*_xlfn.POISSON.DIST(O$1-1,$B13,TRUE))*EXP(-(O$1-$B13)*'Staffing Calculator'!$B$5/'Staffing Calculator'!$B$6))</f>
        <v/>
      </c>
      <c r="P13" s="56">
        <f>IF(P$1&lt;=$B13,0,1-_xlfn.POISSON.DIST(P$1,$B13,FALSE)/(_xlfn.POISSON.DIST(P$1,$B13,FALSE)+(1-$B13/P$1)*_xlfn.POISSON.DIST(P$1-1,$B13,TRUE))*EXP(-(P$1-$B13)*'Staffing Calculator'!$B$5/'Staffing Calculator'!$B$6))</f>
        <v/>
      </c>
      <c r="Q13" s="56">
        <f>IF(Q$1&lt;=$B13,0,1-_xlfn.POISSON.DIST(Q$1,$B13,FALSE)/(_xlfn.POISSON.DIST(Q$1,$B13,FALSE)+(1-$B13/Q$1)*_xlfn.POISSON.DIST(Q$1-1,$B13,TRUE))*EXP(-(Q$1-$B13)*'Staffing Calculator'!$B$5/'Staffing Calculator'!$B$6))</f>
        <v/>
      </c>
      <c r="R13" s="56">
        <f>IF(R$1&lt;=$B13,0,1-_xlfn.POISSON.DIST(R$1,$B13,FALSE)/(_xlfn.POISSON.DIST(R$1,$B13,FALSE)+(1-$B13/R$1)*_xlfn.POISSON.DIST(R$1-1,$B13,TRUE))*EXP(-(R$1-$B13)*'Staffing Calculator'!$B$5/'Staffing Calculator'!$B$6))</f>
        <v/>
      </c>
      <c r="S13" s="56">
        <f>IF(S$1&lt;=$B13,0,1-_xlfn.POISSON.DIST(S$1,$B13,FALSE)/(_xlfn.POISSON.DIST(S$1,$B13,FALSE)+(1-$B13/S$1)*_xlfn.POISSON.DIST(S$1-1,$B13,TRUE))*EXP(-(S$1-$B13)*'Staffing Calculator'!$B$5/'Staffing Calculator'!$B$6))</f>
        <v/>
      </c>
      <c r="T13" s="56">
        <f>IF(T$1&lt;=$B13,0,1-_xlfn.POISSON.DIST(T$1,$B13,FALSE)/(_xlfn.POISSON.DIST(T$1,$B13,FALSE)+(1-$B13/T$1)*_xlfn.POISSON.DIST(T$1-1,$B13,TRUE))*EXP(-(T$1-$B13)*'Staffing Calculator'!$B$5/'Staffing Calculator'!$B$6))</f>
        <v/>
      </c>
      <c r="U13" s="56">
        <f>IF(U$1&lt;=$B13,0,1-_xlfn.POISSON.DIST(U$1,$B13,FALSE)/(_xlfn.POISSON.DIST(U$1,$B13,FALSE)+(1-$B13/U$1)*_xlfn.POISSON.DIST(U$1-1,$B13,TRUE))*EXP(-(U$1-$B13)*'Staffing Calculator'!$B$5/'Staffing Calculator'!$B$6))</f>
        <v/>
      </c>
      <c r="V13" s="56">
        <f>IF(V$1&lt;=$B13,0,1-_xlfn.POISSON.DIST(V$1,$B13,FALSE)/(_xlfn.POISSON.DIST(V$1,$B13,FALSE)+(1-$B13/V$1)*_xlfn.POISSON.DIST(V$1-1,$B13,TRUE))*EXP(-(V$1-$B13)*'Staffing Calculator'!$B$5/'Staffing Calculator'!$B$6))</f>
        <v/>
      </c>
      <c r="W13" s="56">
        <f>IF(W$1&lt;=$B13,0,1-_xlfn.POISSON.DIST(W$1,$B13,FALSE)/(_xlfn.POISSON.DIST(W$1,$B13,FALSE)+(1-$B13/W$1)*_xlfn.POISSON.DIST(W$1-1,$B13,TRUE))*EXP(-(W$1-$B13)*'Staffing Calculator'!$B$5/'Staffing Calculator'!$B$6))</f>
        <v/>
      </c>
      <c r="X13" s="56">
        <f>IF(X$1&lt;=$B13,0,1-_xlfn.POISSON.DIST(X$1,$B13,FALSE)/(_xlfn.POISSON.DIST(X$1,$B13,FALSE)+(1-$B13/X$1)*_xlfn.POISSON.DIST(X$1-1,$B13,TRUE))*EXP(-(X$1-$B13)*'Staffing Calculator'!$B$5/'Staffing Calculator'!$B$6))</f>
        <v/>
      </c>
      <c r="Y13" s="56">
        <f>IF(Y$1&lt;=$B13,0,1-_xlfn.POISSON.DIST(Y$1,$B13,FALSE)/(_xlfn.POISSON.DIST(Y$1,$B13,FALSE)+(1-$B13/Y$1)*_xlfn.POISSON.DIST(Y$1-1,$B13,TRUE))*EXP(-(Y$1-$B13)*'Staffing Calculator'!$B$5/'Staffing Calculator'!$B$6))</f>
        <v/>
      </c>
      <c r="Z13" s="56">
        <f>IF(Z$1&lt;=$B13,0,1-_xlfn.POISSON.DIST(Z$1,$B13,FALSE)/(_xlfn.POISSON.DIST(Z$1,$B13,FALSE)+(1-$B13/Z$1)*_xlfn.POISSON.DIST(Z$1-1,$B13,TRUE))*EXP(-(Z$1-$B13)*'Staffing Calculator'!$B$5/'Staffing Calculator'!$B$6))</f>
        <v/>
      </c>
      <c r="AA13" s="56">
        <f>IF(AA$1&lt;=$B13,0,1-_xlfn.POISSON.DIST(AA$1,$B13,FALSE)/(_xlfn.POISSON.DIST(AA$1,$B13,FALSE)+(1-$B13/AA$1)*_xlfn.POISSON.DIST(AA$1-1,$B13,TRUE))*EXP(-(AA$1-$B13)*'Staffing Calculator'!$B$5/'Staffing Calculator'!$B$6))</f>
        <v/>
      </c>
      <c r="AB13" s="56">
        <f>IF(AB$1&lt;=$B13,0,1-_xlfn.POISSON.DIST(AB$1,$B13,FALSE)/(_xlfn.POISSON.DIST(AB$1,$B13,FALSE)+(1-$B13/AB$1)*_xlfn.POISSON.DIST(AB$1-1,$B13,TRUE))*EXP(-(AB$1-$B13)*'Staffing Calculator'!$B$5/'Staffing Calculator'!$B$6))</f>
        <v/>
      </c>
      <c r="AC13" s="56">
        <f>IF(AC$1&lt;=$B13,0,1-_xlfn.POISSON.DIST(AC$1,$B13,FALSE)/(_xlfn.POISSON.DIST(AC$1,$B13,FALSE)+(1-$B13/AC$1)*_xlfn.POISSON.DIST(AC$1-1,$B13,TRUE))*EXP(-(AC$1-$B13)*'Staffing Calculator'!$B$5/'Staffing Calculator'!$B$6))</f>
        <v/>
      </c>
      <c r="AD13" s="56">
        <f>IF(AD$1&lt;=$B13,0,1-_xlfn.POISSON.DIST(AD$1,$B13,FALSE)/(_xlfn.POISSON.DIST(AD$1,$B13,FALSE)+(1-$B13/AD$1)*_xlfn.POISSON.DIST(AD$1-1,$B13,TRUE))*EXP(-(AD$1-$B13)*'Staffing Calculator'!$B$5/'Staffing Calculator'!$B$6))</f>
        <v/>
      </c>
      <c r="AE13" s="56">
        <f>IF(AE$1&lt;=$B13,0,1-_xlfn.POISSON.DIST(AE$1,$B13,FALSE)/(_xlfn.POISSON.DIST(AE$1,$B13,FALSE)+(1-$B13/AE$1)*_xlfn.POISSON.DIST(AE$1-1,$B13,TRUE))*EXP(-(AE$1-$B13)*'Staffing Calculator'!$B$5/'Staffing Calculator'!$B$6))</f>
        <v/>
      </c>
      <c r="AF13" s="56">
        <f>IF(AF$1&lt;=$B13,0,1-_xlfn.POISSON.DIST(AF$1,$B13,FALSE)/(_xlfn.POISSON.DIST(AF$1,$B13,FALSE)+(1-$B13/AF$1)*_xlfn.POISSON.DIST(AF$1-1,$B13,TRUE))*EXP(-(AF$1-$B13)*'Staffing Calculator'!$B$5/'Staffing Calculator'!$B$6))</f>
        <v/>
      </c>
      <c r="AG13" s="56">
        <f>IF(AG$1&lt;=$B13,0,1-_xlfn.POISSON.DIST(AG$1,$B13,FALSE)/(_xlfn.POISSON.DIST(AG$1,$B13,FALSE)+(1-$B13/AG$1)*_xlfn.POISSON.DIST(AG$1-1,$B13,TRUE))*EXP(-(AG$1-$B13)*'Staffing Calculator'!$B$5/'Staffing Calculator'!$B$6))</f>
        <v/>
      </c>
      <c r="AH13" s="56">
        <f>IF(AH$1&lt;=$B13,0,1-_xlfn.POISSON.DIST(AH$1,$B13,FALSE)/(_xlfn.POISSON.DIST(AH$1,$B13,FALSE)+(1-$B13/AH$1)*_xlfn.POISSON.DIST(AH$1-1,$B13,TRUE))*EXP(-(AH$1-$B13)*'Staffing Calculator'!$B$5/'Staffing Calculator'!$B$6))</f>
        <v/>
      </c>
      <c r="AI13" s="56">
        <f>IF(AI$1&lt;=$B13,0,1-_xlfn.POISSON.DIST(AI$1,$B13,FALSE)/(_xlfn.POISSON.DIST(AI$1,$B13,FALSE)+(1-$B13/AI$1)*_xlfn.POISSON.DIST(AI$1-1,$B13,TRUE))*EXP(-(AI$1-$B13)*'Staffing Calculator'!$B$5/'Staffing Calculator'!$B$6))</f>
        <v/>
      </c>
      <c r="AJ13" s="56">
        <f>IF(AJ$1&lt;=$B13,0,1-_xlfn.POISSON.DIST(AJ$1,$B13,FALSE)/(_xlfn.POISSON.DIST(AJ$1,$B13,FALSE)+(1-$B13/AJ$1)*_xlfn.POISSON.DIST(AJ$1-1,$B13,TRUE))*EXP(-(AJ$1-$B13)*'Staffing Calculator'!$B$5/'Staffing Calculator'!$B$6))</f>
        <v/>
      </c>
      <c r="AK13" s="56">
        <f>IF(AK$1&lt;=$B13,0,1-_xlfn.POISSON.DIST(AK$1,$B13,FALSE)/(_xlfn.POISSON.DIST(AK$1,$B13,FALSE)+(1-$B13/AK$1)*_xlfn.POISSON.DIST(AK$1-1,$B13,TRUE))*EXP(-(AK$1-$B13)*'Staffing Calculator'!$B$5/'Staffing Calculator'!$B$6))</f>
        <v/>
      </c>
      <c r="AL13" s="56">
        <f>IF(AL$1&lt;=$B13,0,1-_xlfn.POISSON.DIST(AL$1,$B13,FALSE)/(_xlfn.POISSON.DIST(AL$1,$B13,FALSE)+(1-$B13/AL$1)*_xlfn.POISSON.DIST(AL$1-1,$B13,TRUE))*EXP(-(AL$1-$B13)*'Staffing Calculator'!$B$5/'Staffing Calculator'!$B$6))</f>
        <v/>
      </c>
      <c r="AM13" s="56">
        <f>IF(AM$1&lt;=$B13,0,1-_xlfn.POISSON.DIST(AM$1,$B13,FALSE)/(_xlfn.POISSON.DIST(AM$1,$B13,FALSE)+(1-$B13/AM$1)*_xlfn.POISSON.DIST(AM$1-1,$B13,TRUE))*EXP(-(AM$1-$B13)*'Staffing Calculator'!$B$5/'Staffing Calculator'!$B$6))</f>
        <v/>
      </c>
      <c r="AN13" s="56">
        <f>IF(AN$1&lt;=$B13,0,1-_xlfn.POISSON.DIST(AN$1,$B13,FALSE)/(_xlfn.POISSON.DIST(AN$1,$B13,FALSE)+(1-$B13/AN$1)*_xlfn.POISSON.DIST(AN$1-1,$B13,TRUE))*EXP(-(AN$1-$B13)*'Staffing Calculator'!$B$5/'Staffing Calculator'!$B$6))</f>
        <v/>
      </c>
      <c r="AO13" s="56">
        <f>IF(AO$1&lt;=$B13,0,1-_xlfn.POISSON.DIST(AO$1,$B13,FALSE)/(_xlfn.POISSON.DIST(AO$1,$B13,FALSE)+(1-$B13/AO$1)*_xlfn.POISSON.DIST(AO$1-1,$B13,TRUE))*EXP(-(AO$1-$B13)*'Staffing Calculator'!$B$5/'Staffing Calculator'!$B$6))</f>
        <v/>
      </c>
      <c r="AP13" s="56">
        <f>IF(AP$1&lt;=$B13,0,1-_xlfn.POISSON.DIST(AP$1,$B13,FALSE)/(_xlfn.POISSON.DIST(AP$1,$B13,FALSE)+(1-$B13/AP$1)*_xlfn.POISSON.DIST(AP$1-1,$B13,TRUE))*EXP(-(AP$1-$B13)*'Staffing Calculator'!$B$5/'Staffing Calculator'!$B$6))</f>
        <v/>
      </c>
      <c r="AQ13" s="56">
        <f>IF(AQ$1&lt;=$B13,0,1-_xlfn.POISSON.DIST(AQ$1,$B13,FALSE)/(_xlfn.POISSON.DIST(AQ$1,$B13,FALSE)+(1-$B13/AQ$1)*_xlfn.POISSON.DIST(AQ$1-1,$B13,TRUE))*EXP(-(AQ$1-$B13)*'Staffing Calculator'!$B$5/'Staffing Calculator'!$B$6))</f>
        <v/>
      </c>
      <c r="AR13" s="56">
        <f>IF(AR$1&lt;=$B13,0,1-_xlfn.POISSON.DIST(AR$1,$B13,FALSE)/(_xlfn.POISSON.DIST(AR$1,$B13,FALSE)+(1-$B13/AR$1)*_xlfn.POISSON.DIST(AR$1-1,$B13,TRUE))*EXP(-(AR$1-$B13)*'Staffing Calculator'!$B$5/'Staffing Calculator'!$B$6))</f>
        <v/>
      </c>
      <c r="AS13" s="56">
        <f>IF(AS$1&lt;=$B13,0,1-_xlfn.POISSON.DIST(AS$1,$B13,FALSE)/(_xlfn.POISSON.DIST(AS$1,$B13,FALSE)+(1-$B13/AS$1)*_xlfn.POISSON.DIST(AS$1-1,$B13,TRUE))*EXP(-(AS$1-$B13)*'Staffing Calculator'!$B$5/'Staffing Calculator'!$B$6))</f>
        <v/>
      </c>
      <c r="AT13" s="56">
        <f>IF(AT$1&lt;=$B13,0,1-_xlfn.POISSON.DIST(AT$1,$B13,FALSE)/(_xlfn.POISSON.DIST(AT$1,$B13,FALSE)+(1-$B13/AT$1)*_xlfn.POISSON.DIST(AT$1-1,$B13,TRUE))*EXP(-(AT$1-$B13)*'Staffing Calculator'!$B$5/'Staffing Calculator'!$B$6))</f>
        <v/>
      </c>
      <c r="AU13" s="56">
        <f>IF(AU$1&lt;=$B13,0,1-_xlfn.POISSON.DIST(AU$1,$B13,FALSE)/(_xlfn.POISSON.DIST(AU$1,$B13,FALSE)+(1-$B13/AU$1)*_xlfn.POISSON.DIST(AU$1-1,$B13,TRUE))*EXP(-(AU$1-$B13)*'Staffing Calculator'!$B$5/'Staffing Calculator'!$B$6))</f>
        <v/>
      </c>
      <c r="AV13" s="56">
        <f>IF(AV$1&lt;=$B13,0,1-_xlfn.POISSON.DIST(AV$1,$B13,FALSE)/(_xlfn.POISSON.DIST(AV$1,$B13,FALSE)+(1-$B13/AV$1)*_xlfn.POISSON.DIST(AV$1-1,$B13,TRUE))*EXP(-(AV$1-$B13)*'Staffing Calculator'!$B$5/'Staffing Calculator'!$B$6))</f>
        <v/>
      </c>
      <c r="AW13" s="56">
        <f>IF(AW$1&lt;=$B13,0,1-_xlfn.POISSON.DIST(AW$1,$B13,FALSE)/(_xlfn.POISSON.DIST(AW$1,$B13,FALSE)+(1-$B13/AW$1)*_xlfn.POISSON.DIST(AW$1-1,$B13,TRUE))*EXP(-(AW$1-$B13)*'Staffing Calculator'!$B$5/'Staffing Calculator'!$B$6))</f>
        <v/>
      </c>
      <c r="AX13" s="56">
        <f>IF(AX$1&lt;=$B13,0,1-_xlfn.POISSON.DIST(AX$1,$B13,FALSE)/(_xlfn.POISSON.DIST(AX$1,$B13,FALSE)+(1-$B13/AX$1)*_xlfn.POISSON.DIST(AX$1-1,$B13,TRUE))*EXP(-(AX$1-$B13)*'Staffing Calculator'!$B$5/'Staffing Calculator'!$B$6))</f>
        <v/>
      </c>
      <c r="AY13" s="56">
        <f>IF(AY$1&lt;=$B13,0,1-_xlfn.POISSON.DIST(AY$1,$B13,FALSE)/(_xlfn.POISSON.DIST(AY$1,$B13,FALSE)+(1-$B13/AY$1)*_xlfn.POISSON.DIST(AY$1-1,$B13,TRUE))*EXP(-(AY$1-$B13)*'Staffing Calculator'!$B$5/'Staffing Calculator'!$B$6))</f>
        <v/>
      </c>
      <c r="AZ13" s="56">
        <f>IF(AZ$1&lt;=$B13,0,1-_xlfn.POISSON.DIST(AZ$1,$B13,FALSE)/(_xlfn.POISSON.DIST(AZ$1,$B13,FALSE)+(1-$B13/AZ$1)*_xlfn.POISSON.DIST(AZ$1-1,$B13,TRUE))*EXP(-(AZ$1-$B13)*'Staffing Calculator'!$B$5/'Staffing Calculator'!$B$6))</f>
        <v/>
      </c>
      <c r="BA13" s="56">
        <f>IF(BA$1&lt;=$B13,0,1-_xlfn.POISSON.DIST(BA$1,$B13,FALSE)/(_xlfn.POISSON.DIST(BA$1,$B13,FALSE)+(1-$B13/BA$1)*_xlfn.POISSON.DIST(BA$1-1,$B13,TRUE))*EXP(-(BA$1-$B13)*'Staffing Calculator'!$B$5/'Staffing Calculator'!$B$6))</f>
        <v/>
      </c>
      <c r="BB13" s="56">
        <f>IF(BB$1&lt;=$B13,0,1-_xlfn.POISSON.DIST(BB$1,$B13,FALSE)/(_xlfn.POISSON.DIST(BB$1,$B13,FALSE)+(1-$B13/BB$1)*_xlfn.POISSON.DIST(BB$1-1,$B13,TRUE))*EXP(-(BB$1-$B13)*'Staffing Calculator'!$B$5/'Staffing Calculator'!$B$6))</f>
        <v/>
      </c>
      <c r="BC13" s="56">
        <f>IF(BC$1&lt;=$B13,0,1-_xlfn.POISSON.DIST(BC$1,$B13,FALSE)/(_xlfn.POISSON.DIST(BC$1,$B13,FALSE)+(1-$B13/BC$1)*_xlfn.POISSON.DIST(BC$1-1,$B13,TRUE))*EXP(-(BC$1-$B13)*'Staffing Calculator'!$B$5/'Staffing Calculator'!$B$6))</f>
        <v/>
      </c>
      <c r="BD13" s="56">
        <f>IF(BD$1&lt;=$B13,0,1-_xlfn.POISSON.DIST(BD$1,$B13,FALSE)/(_xlfn.POISSON.DIST(BD$1,$B13,FALSE)+(1-$B13/BD$1)*_xlfn.POISSON.DIST(BD$1-1,$B13,TRUE))*EXP(-(BD$1-$B13)*'Staffing Calculator'!$B$5/'Staffing Calculator'!$B$6))</f>
        <v/>
      </c>
      <c r="BE13" s="56">
        <f>IF(BE$1&lt;=$B13,0,1-_xlfn.POISSON.DIST(BE$1,$B13,FALSE)/(_xlfn.POISSON.DIST(BE$1,$B13,FALSE)+(1-$B13/BE$1)*_xlfn.POISSON.DIST(BE$1-1,$B13,TRUE))*EXP(-(BE$1-$B13)*'Staffing Calculator'!$B$5/'Staffing Calculator'!$B$6))</f>
        <v/>
      </c>
      <c r="BF13" s="56">
        <f>IF(BF$1&lt;=$B13,0,1-_xlfn.POISSON.DIST(BF$1,$B13,FALSE)/(_xlfn.POISSON.DIST(BF$1,$B13,FALSE)+(1-$B13/BF$1)*_xlfn.POISSON.DIST(BF$1-1,$B13,TRUE))*EXP(-(BF$1-$B13)*'Staffing Calculator'!$B$5/'Staffing Calculator'!$B$6))</f>
        <v/>
      </c>
      <c r="BG13" s="56">
        <f>IF(BG$1&lt;=$B13,0,1-_xlfn.POISSON.DIST(BG$1,$B13,FALSE)/(_xlfn.POISSON.DIST(BG$1,$B13,FALSE)+(1-$B13/BG$1)*_xlfn.POISSON.DIST(BG$1-1,$B13,TRUE))*EXP(-(BG$1-$B13)*'Staffing Calculator'!$B$5/'Staffing Calculator'!$B$6))</f>
        <v/>
      </c>
      <c r="BH13" s="56">
        <f>IF(BH$1&lt;=$B13,0,1-_xlfn.POISSON.DIST(BH$1,$B13,FALSE)/(_xlfn.POISSON.DIST(BH$1,$B13,FALSE)+(1-$B13/BH$1)*_xlfn.POISSON.DIST(BH$1-1,$B13,TRUE))*EXP(-(BH$1-$B13)*'Staffing Calculator'!$B$5/'Staffing Calculator'!$B$6))</f>
        <v/>
      </c>
      <c r="BI13" s="56">
        <f>IF(BI$1&lt;=$B13,0,1-_xlfn.POISSON.DIST(BI$1,$B13,FALSE)/(_xlfn.POISSON.DIST(BI$1,$B13,FALSE)+(1-$B13/BI$1)*_xlfn.POISSON.DIST(BI$1-1,$B13,TRUE))*EXP(-(BI$1-$B13)*'Staffing Calculator'!$B$5/'Staffing Calculator'!$B$6))</f>
        <v/>
      </c>
      <c r="BJ13" s="56">
        <f>IF(BJ$1&lt;=$B13,0,1-_xlfn.POISSON.DIST(BJ$1,$B13,FALSE)/(_xlfn.POISSON.DIST(BJ$1,$B13,FALSE)+(1-$B13/BJ$1)*_xlfn.POISSON.DIST(BJ$1-1,$B13,TRUE))*EXP(-(BJ$1-$B13)*'Staffing Calculator'!$B$5/'Staffing Calculator'!$B$6))</f>
        <v/>
      </c>
    </row>
    <row r="14">
      <c r="A14" s="54">
        <f>'Staffing Calculator'!A14</f>
        <v/>
      </c>
      <c r="B14" s="55">
        <f>'Staffing Calculator'!C14</f>
        <v/>
      </c>
      <c r="C14" s="56">
        <f>IF(C$1&lt;=$B14,0,1-_xlfn.POISSON.DIST(C$1,$B14,FALSE)/(_xlfn.POISSON.DIST(C$1,$B14,FALSE)+(1-$B14/C$1)*_xlfn.POISSON.DIST(C$1-1,$B14,TRUE))*EXP(-(C$1-$B14)*'Staffing Calculator'!$B$5/'Staffing Calculator'!$B$6))</f>
        <v/>
      </c>
      <c r="D14" s="56">
        <f>IF(D$1&lt;=$B14,0,1-_xlfn.POISSON.DIST(D$1,$B14,FALSE)/(_xlfn.POISSON.DIST(D$1,$B14,FALSE)+(1-$B14/D$1)*_xlfn.POISSON.DIST(D$1-1,$B14,TRUE))*EXP(-(D$1-$B14)*'Staffing Calculator'!$B$5/'Staffing Calculator'!$B$6))</f>
        <v/>
      </c>
      <c r="E14" s="56">
        <f>IF(E$1&lt;=$B14,0,1-_xlfn.POISSON.DIST(E$1,$B14,FALSE)/(_xlfn.POISSON.DIST(E$1,$B14,FALSE)+(1-$B14/E$1)*_xlfn.POISSON.DIST(E$1-1,$B14,TRUE))*EXP(-(E$1-$B14)*'Staffing Calculator'!$B$5/'Staffing Calculator'!$B$6))</f>
        <v/>
      </c>
      <c r="F14" s="56">
        <f>IF(F$1&lt;=$B14,0,1-_xlfn.POISSON.DIST(F$1,$B14,FALSE)/(_xlfn.POISSON.DIST(F$1,$B14,FALSE)+(1-$B14/F$1)*_xlfn.POISSON.DIST(F$1-1,$B14,TRUE))*EXP(-(F$1-$B14)*'Staffing Calculator'!$B$5/'Staffing Calculator'!$B$6))</f>
        <v/>
      </c>
      <c r="G14" s="56">
        <f>IF(G$1&lt;=$B14,0,1-_xlfn.POISSON.DIST(G$1,$B14,FALSE)/(_xlfn.POISSON.DIST(G$1,$B14,FALSE)+(1-$B14/G$1)*_xlfn.POISSON.DIST(G$1-1,$B14,TRUE))*EXP(-(G$1-$B14)*'Staffing Calculator'!$B$5/'Staffing Calculator'!$B$6))</f>
        <v/>
      </c>
      <c r="H14" s="56">
        <f>IF(H$1&lt;=$B14,0,1-_xlfn.POISSON.DIST(H$1,$B14,FALSE)/(_xlfn.POISSON.DIST(H$1,$B14,FALSE)+(1-$B14/H$1)*_xlfn.POISSON.DIST(H$1-1,$B14,TRUE))*EXP(-(H$1-$B14)*'Staffing Calculator'!$B$5/'Staffing Calculator'!$B$6))</f>
        <v/>
      </c>
      <c r="I14" s="56">
        <f>IF(I$1&lt;=$B14,0,1-_xlfn.POISSON.DIST(I$1,$B14,FALSE)/(_xlfn.POISSON.DIST(I$1,$B14,FALSE)+(1-$B14/I$1)*_xlfn.POISSON.DIST(I$1-1,$B14,TRUE))*EXP(-(I$1-$B14)*'Staffing Calculator'!$B$5/'Staffing Calculator'!$B$6))</f>
        <v/>
      </c>
      <c r="J14" s="56">
        <f>IF(J$1&lt;=$B14,0,1-_xlfn.POISSON.DIST(J$1,$B14,FALSE)/(_xlfn.POISSON.DIST(J$1,$B14,FALSE)+(1-$B14/J$1)*_xlfn.POISSON.DIST(J$1-1,$B14,TRUE))*EXP(-(J$1-$B14)*'Staffing Calculator'!$B$5/'Staffing Calculator'!$B$6))</f>
        <v/>
      </c>
      <c r="K14" s="56">
        <f>IF(K$1&lt;=$B14,0,1-_xlfn.POISSON.DIST(K$1,$B14,FALSE)/(_xlfn.POISSON.DIST(K$1,$B14,FALSE)+(1-$B14/K$1)*_xlfn.POISSON.DIST(K$1-1,$B14,TRUE))*EXP(-(K$1-$B14)*'Staffing Calculator'!$B$5/'Staffing Calculator'!$B$6))</f>
        <v/>
      </c>
      <c r="L14" s="56">
        <f>IF(L$1&lt;=$B14,0,1-_xlfn.POISSON.DIST(L$1,$B14,FALSE)/(_xlfn.POISSON.DIST(L$1,$B14,FALSE)+(1-$B14/L$1)*_xlfn.POISSON.DIST(L$1-1,$B14,TRUE))*EXP(-(L$1-$B14)*'Staffing Calculator'!$B$5/'Staffing Calculator'!$B$6))</f>
        <v/>
      </c>
      <c r="M14" s="56">
        <f>IF(M$1&lt;=$B14,0,1-_xlfn.POISSON.DIST(M$1,$B14,FALSE)/(_xlfn.POISSON.DIST(M$1,$B14,FALSE)+(1-$B14/M$1)*_xlfn.POISSON.DIST(M$1-1,$B14,TRUE))*EXP(-(M$1-$B14)*'Staffing Calculator'!$B$5/'Staffing Calculator'!$B$6))</f>
        <v/>
      </c>
      <c r="N14" s="56">
        <f>IF(N$1&lt;=$B14,0,1-_xlfn.POISSON.DIST(N$1,$B14,FALSE)/(_xlfn.POISSON.DIST(N$1,$B14,FALSE)+(1-$B14/N$1)*_xlfn.POISSON.DIST(N$1-1,$B14,TRUE))*EXP(-(N$1-$B14)*'Staffing Calculator'!$B$5/'Staffing Calculator'!$B$6))</f>
        <v/>
      </c>
      <c r="O14" s="56">
        <f>IF(O$1&lt;=$B14,0,1-_xlfn.POISSON.DIST(O$1,$B14,FALSE)/(_xlfn.POISSON.DIST(O$1,$B14,FALSE)+(1-$B14/O$1)*_xlfn.POISSON.DIST(O$1-1,$B14,TRUE))*EXP(-(O$1-$B14)*'Staffing Calculator'!$B$5/'Staffing Calculator'!$B$6))</f>
        <v/>
      </c>
      <c r="P14" s="56">
        <f>IF(P$1&lt;=$B14,0,1-_xlfn.POISSON.DIST(P$1,$B14,FALSE)/(_xlfn.POISSON.DIST(P$1,$B14,FALSE)+(1-$B14/P$1)*_xlfn.POISSON.DIST(P$1-1,$B14,TRUE))*EXP(-(P$1-$B14)*'Staffing Calculator'!$B$5/'Staffing Calculator'!$B$6))</f>
        <v/>
      </c>
      <c r="Q14" s="56">
        <f>IF(Q$1&lt;=$B14,0,1-_xlfn.POISSON.DIST(Q$1,$B14,FALSE)/(_xlfn.POISSON.DIST(Q$1,$B14,FALSE)+(1-$B14/Q$1)*_xlfn.POISSON.DIST(Q$1-1,$B14,TRUE))*EXP(-(Q$1-$B14)*'Staffing Calculator'!$B$5/'Staffing Calculator'!$B$6))</f>
        <v/>
      </c>
      <c r="R14" s="56">
        <f>IF(R$1&lt;=$B14,0,1-_xlfn.POISSON.DIST(R$1,$B14,FALSE)/(_xlfn.POISSON.DIST(R$1,$B14,FALSE)+(1-$B14/R$1)*_xlfn.POISSON.DIST(R$1-1,$B14,TRUE))*EXP(-(R$1-$B14)*'Staffing Calculator'!$B$5/'Staffing Calculator'!$B$6))</f>
        <v/>
      </c>
      <c r="S14" s="56">
        <f>IF(S$1&lt;=$B14,0,1-_xlfn.POISSON.DIST(S$1,$B14,FALSE)/(_xlfn.POISSON.DIST(S$1,$B14,FALSE)+(1-$B14/S$1)*_xlfn.POISSON.DIST(S$1-1,$B14,TRUE))*EXP(-(S$1-$B14)*'Staffing Calculator'!$B$5/'Staffing Calculator'!$B$6))</f>
        <v/>
      </c>
      <c r="T14" s="56">
        <f>IF(T$1&lt;=$B14,0,1-_xlfn.POISSON.DIST(T$1,$B14,FALSE)/(_xlfn.POISSON.DIST(T$1,$B14,FALSE)+(1-$B14/T$1)*_xlfn.POISSON.DIST(T$1-1,$B14,TRUE))*EXP(-(T$1-$B14)*'Staffing Calculator'!$B$5/'Staffing Calculator'!$B$6))</f>
        <v/>
      </c>
      <c r="U14" s="56">
        <f>IF(U$1&lt;=$B14,0,1-_xlfn.POISSON.DIST(U$1,$B14,FALSE)/(_xlfn.POISSON.DIST(U$1,$B14,FALSE)+(1-$B14/U$1)*_xlfn.POISSON.DIST(U$1-1,$B14,TRUE))*EXP(-(U$1-$B14)*'Staffing Calculator'!$B$5/'Staffing Calculator'!$B$6))</f>
        <v/>
      </c>
      <c r="V14" s="56">
        <f>IF(V$1&lt;=$B14,0,1-_xlfn.POISSON.DIST(V$1,$B14,FALSE)/(_xlfn.POISSON.DIST(V$1,$B14,FALSE)+(1-$B14/V$1)*_xlfn.POISSON.DIST(V$1-1,$B14,TRUE))*EXP(-(V$1-$B14)*'Staffing Calculator'!$B$5/'Staffing Calculator'!$B$6))</f>
        <v/>
      </c>
      <c r="W14" s="56">
        <f>IF(W$1&lt;=$B14,0,1-_xlfn.POISSON.DIST(W$1,$B14,FALSE)/(_xlfn.POISSON.DIST(W$1,$B14,FALSE)+(1-$B14/W$1)*_xlfn.POISSON.DIST(W$1-1,$B14,TRUE))*EXP(-(W$1-$B14)*'Staffing Calculator'!$B$5/'Staffing Calculator'!$B$6))</f>
        <v/>
      </c>
      <c r="X14" s="56">
        <f>IF(X$1&lt;=$B14,0,1-_xlfn.POISSON.DIST(X$1,$B14,FALSE)/(_xlfn.POISSON.DIST(X$1,$B14,FALSE)+(1-$B14/X$1)*_xlfn.POISSON.DIST(X$1-1,$B14,TRUE))*EXP(-(X$1-$B14)*'Staffing Calculator'!$B$5/'Staffing Calculator'!$B$6))</f>
        <v/>
      </c>
      <c r="Y14" s="56">
        <f>IF(Y$1&lt;=$B14,0,1-_xlfn.POISSON.DIST(Y$1,$B14,FALSE)/(_xlfn.POISSON.DIST(Y$1,$B14,FALSE)+(1-$B14/Y$1)*_xlfn.POISSON.DIST(Y$1-1,$B14,TRUE))*EXP(-(Y$1-$B14)*'Staffing Calculator'!$B$5/'Staffing Calculator'!$B$6))</f>
        <v/>
      </c>
      <c r="Z14" s="56">
        <f>IF(Z$1&lt;=$B14,0,1-_xlfn.POISSON.DIST(Z$1,$B14,FALSE)/(_xlfn.POISSON.DIST(Z$1,$B14,FALSE)+(1-$B14/Z$1)*_xlfn.POISSON.DIST(Z$1-1,$B14,TRUE))*EXP(-(Z$1-$B14)*'Staffing Calculator'!$B$5/'Staffing Calculator'!$B$6))</f>
        <v/>
      </c>
      <c r="AA14" s="56">
        <f>IF(AA$1&lt;=$B14,0,1-_xlfn.POISSON.DIST(AA$1,$B14,FALSE)/(_xlfn.POISSON.DIST(AA$1,$B14,FALSE)+(1-$B14/AA$1)*_xlfn.POISSON.DIST(AA$1-1,$B14,TRUE))*EXP(-(AA$1-$B14)*'Staffing Calculator'!$B$5/'Staffing Calculator'!$B$6))</f>
        <v/>
      </c>
      <c r="AB14" s="56">
        <f>IF(AB$1&lt;=$B14,0,1-_xlfn.POISSON.DIST(AB$1,$B14,FALSE)/(_xlfn.POISSON.DIST(AB$1,$B14,FALSE)+(1-$B14/AB$1)*_xlfn.POISSON.DIST(AB$1-1,$B14,TRUE))*EXP(-(AB$1-$B14)*'Staffing Calculator'!$B$5/'Staffing Calculator'!$B$6))</f>
        <v/>
      </c>
      <c r="AC14" s="56">
        <f>IF(AC$1&lt;=$B14,0,1-_xlfn.POISSON.DIST(AC$1,$B14,FALSE)/(_xlfn.POISSON.DIST(AC$1,$B14,FALSE)+(1-$B14/AC$1)*_xlfn.POISSON.DIST(AC$1-1,$B14,TRUE))*EXP(-(AC$1-$B14)*'Staffing Calculator'!$B$5/'Staffing Calculator'!$B$6))</f>
        <v/>
      </c>
      <c r="AD14" s="56">
        <f>IF(AD$1&lt;=$B14,0,1-_xlfn.POISSON.DIST(AD$1,$B14,FALSE)/(_xlfn.POISSON.DIST(AD$1,$B14,FALSE)+(1-$B14/AD$1)*_xlfn.POISSON.DIST(AD$1-1,$B14,TRUE))*EXP(-(AD$1-$B14)*'Staffing Calculator'!$B$5/'Staffing Calculator'!$B$6))</f>
        <v/>
      </c>
      <c r="AE14" s="56">
        <f>IF(AE$1&lt;=$B14,0,1-_xlfn.POISSON.DIST(AE$1,$B14,FALSE)/(_xlfn.POISSON.DIST(AE$1,$B14,FALSE)+(1-$B14/AE$1)*_xlfn.POISSON.DIST(AE$1-1,$B14,TRUE))*EXP(-(AE$1-$B14)*'Staffing Calculator'!$B$5/'Staffing Calculator'!$B$6))</f>
        <v/>
      </c>
      <c r="AF14" s="56">
        <f>IF(AF$1&lt;=$B14,0,1-_xlfn.POISSON.DIST(AF$1,$B14,FALSE)/(_xlfn.POISSON.DIST(AF$1,$B14,FALSE)+(1-$B14/AF$1)*_xlfn.POISSON.DIST(AF$1-1,$B14,TRUE))*EXP(-(AF$1-$B14)*'Staffing Calculator'!$B$5/'Staffing Calculator'!$B$6))</f>
        <v/>
      </c>
      <c r="AG14" s="56">
        <f>IF(AG$1&lt;=$B14,0,1-_xlfn.POISSON.DIST(AG$1,$B14,FALSE)/(_xlfn.POISSON.DIST(AG$1,$B14,FALSE)+(1-$B14/AG$1)*_xlfn.POISSON.DIST(AG$1-1,$B14,TRUE))*EXP(-(AG$1-$B14)*'Staffing Calculator'!$B$5/'Staffing Calculator'!$B$6))</f>
        <v/>
      </c>
      <c r="AH14" s="56">
        <f>IF(AH$1&lt;=$B14,0,1-_xlfn.POISSON.DIST(AH$1,$B14,FALSE)/(_xlfn.POISSON.DIST(AH$1,$B14,FALSE)+(1-$B14/AH$1)*_xlfn.POISSON.DIST(AH$1-1,$B14,TRUE))*EXP(-(AH$1-$B14)*'Staffing Calculator'!$B$5/'Staffing Calculator'!$B$6))</f>
        <v/>
      </c>
      <c r="AI14" s="56">
        <f>IF(AI$1&lt;=$B14,0,1-_xlfn.POISSON.DIST(AI$1,$B14,FALSE)/(_xlfn.POISSON.DIST(AI$1,$B14,FALSE)+(1-$B14/AI$1)*_xlfn.POISSON.DIST(AI$1-1,$B14,TRUE))*EXP(-(AI$1-$B14)*'Staffing Calculator'!$B$5/'Staffing Calculator'!$B$6))</f>
        <v/>
      </c>
      <c r="AJ14" s="56">
        <f>IF(AJ$1&lt;=$B14,0,1-_xlfn.POISSON.DIST(AJ$1,$B14,FALSE)/(_xlfn.POISSON.DIST(AJ$1,$B14,FALSE)+(1-$B14/AJ$1)*_xlfn.POISSON.DIST(AJ$1-1,$B14,TRUE))*EXP(-(AJ$1-$B14)*'Staffing Calculator'!$B$5/'Staffing Calculator'!$B$6))</f>
        <v/>
      </c>
      <c r="AK14" s="56">
        <f>IF(AK$1&lt;=$B14,0,1-_xlfn.POISSON.DIST(AK$1,$B14,FALSE)/(_xlfn.POISSON.DIST(AK$1,$B14,FALSE)+(1-$B14/AK$1)*_xlfn.POISSON.DIST(AK$1-1,$B14,TRUE))*EXP(-(AK$1-$B14)*'Staffing Calculator'!$B$5/'Staffing Calculator'!$B$6))</f>
        <v/>
      </c>
      <c r="AL14" s="56">
        <f>IF(AL$1&lt;=$B14,0,1-_xlfn.POISSON.DIST(AL$1,$B14,FALSE)/(_xlfn.POISSON.DIST(AL$1,$B14,FALSE)+(1-$B14/AL$1)*_xlfn.POISSON.DIST(AL$1-1,$B14,TRUE))*EXP(-(AL$1-$B14)*'Staffing Calculator'!$B$5/'Staffing Calculator'!$B$6))</f>
        <v/>
      </c>
      <c r="AM14" s="56">
        <f>IF(AM$1&lt;=$B14,0,1-_xlfn.POISSON.DIST(AM$1,$B14,FALSE)/(_xlfn.POISSON.DIST(AM$1,$B14,FALSE)+(1-$B14/AM$1)*_xlfn.POISSON.DIST(AM$1-1,$B14,TRUE))*EXP(-(AM$1-$B14)*'Staffing Calculator'!$B$5/'Staffing Calculator'!$B$6))</f>
        <v/>
      </c>
      <c r="AN14" s="56">
        <f>IF(AN$1&lt;=$B14,0,1-_xlfn.POISSON.DIST(AN$1,$B14,FALSE)/(_xlfn.POISSON.DIST(AN$1,$B14,FALSE)+(1-$B14/AN$1)*_xlfn.POISSON.DIST(AN$1-1,$B14,TRUE))*EXP(-(AN$1-$B14)*'Staffing Calculator'!$B$5/'Staffing Calculator'!$B$6))</f>
        <v/>
      </c>
      <c r="AO14" s="56">
        <f>IF(AO$1&lt;=$B14,0,1-_xlfn.POISSON.DIST(AO$1,$B14,FALSE)/(_xlfn.POISSON.DIST(AO$1,$B14,FALSE)+(1-$B14/AO$1)*_xlfn.POISSON.DIST(AO$1-1,$B14,TRUE))*EXP(-(AO$1-$B14)*'Staffing Calculator'!$B$5/'Staffing Calculator'!$B$6))</f>
        <v/>
      </c>
      <c r="AP14" s="56">
        <f>IF(AP$1&lt;=$B14,0,1-_xlfn.POISSON.DIST(AP$1,$B14,FALSE)/(_xlfn.POISSON.DIST(AP$1,$B14,FALSE)+(1-$B14/AP$1)*_xlfn.POISSON.DIST(AP$1-1,$B14,TRUE))*EXP(-(AP$1-$B14)*'Staffing Calculator'!$B$5/'Staffing Calculator'!$B$6))</f>
        <v/>
      </c>
      <c r="AQ14" s="56">
        <f>IF(AQ$1&lt;=$B14,0,1-_xlfn.POISSON.DIST(AQ$1,$B14,FALSE)/(_xlfn.POISSON.DIST(AQ$1,$B14,FALSE)+(1-$B14/AQ$1)*_xlfn.POISSON.DIST(AQ$1-1,$B14,TRUE))*EXP(-(AQ$1-$B14)*'Staffing Calculator'!$B$5/'Staffing Calculator'!$B$6))</f>
        <v/>
      </c>
      <c r="AR14" s="56">
        <f>IF(AR$1&lt;=$B14,0,1-_xlfn.POISSON.DIST(AR$1,$B14,FALSE)/(_xlfn.POISSON.DIST(AR$1,$B14,FALSE)+(1-$B14/AR$1)*_xlfn.POISSON.DIST(AR$1-1,$B14,TRUE))*EXP(-(AR$1-$B14)*'Staffing Calculator'!$B$5/'Staffing Calculator'!$B$6))</f>
        <v/>
      </c>
      <c r="AS14" s="56">
        <f>IF(AS$1&lt;=$B14,0,1-_xlfn.POISSON.DIST(AS$1,$B14,FALSE)/(_xlfn.POISSON.DIST(AS$1,$B14,FALSE)+(1-$B14/AS$1)*_xlfn.POISSON.DIST(AS$1-1,$B14,TRUE))*EXP(-(AS$1-$B14)*'Staffing Calculator'!$B$5/'Staffing Calculator'!$B$6))</f>
        <v/>
      </c>
      <c r="AT14" s="56">
        <f>IF(AT$1&lt;=$B14,0,1-_xlfn.POISSON.DIST(AT$1,$B14,FALSE)/(_xlfn.POISSON.DIST(AT$1,$B14,FALSE)+(1-$B14/AT$1)*_xlfn.POISSON.DIST(AT$1-1,$B14,TRUE))*EXP(-(AT$1-$B14)*'Staffing Calculator'!$B$5/'Staffing Calculator'!$B$6))</f>
        <v/>
      </c>
      <c r="AU14" s="56">
        <f>IF(AU$1&lt;=$B14,0,1-_xlfn.POISSON.DIST(AU$1,$B14,FALSE)/(_xlfn.POISSON.DIST(AU$1,$B14,FALSE)+(1-$B14/AU$1)*_xlfn.POISSON.DIST(AU$1-1,$B14,TRUE))*EXP(-(AU$1-$B14)*'Staffing Calculator'!$B$5/'Staffing Calculator'!$B$6))</f>
        <v/>
      </c>
      <c r="AV14" s="56">
        <f>IF(AV$1&lt;=$B14,0,1-_xlfn.POISSON.DIST(AV$1,$B14,FALSE)/(_xlfn.POISSON.DIST(AV$1,$B14,FALSE)+(1-$B14/AV$1)*_xlfn.POISSON.DIST(AV$1-1,$B14,TRUE))*EXP(-(AV$1-$B14)*'Staffing Calculator'!$B$5/'Staffing Calculator'!$B$6))</f>
        <v/>
      </c>
      <c r="AW14" s="56">
        <f>IF(AW$1&lt;=$B14,0,1-_xlfn.POISSON.DIST(AW$1,$B14,FALSE)/(_xlfn.POISSON.DIST(AW$1,$B14,FALSE)+(1-$B14/AW$1)*_xlfn.POISSON.DIST(AW$1-1,$B14,TRUE))*EXP(-(AW$1-$B14)*'Staffing Calculator'!$B$5/'Staffing Calculator'!$B$6))</f>
        <v/>
      </c>
      <c r="AX14" s="56">
        <f>IF(AX$1&lt;=$B14,0,1-_xlfn.POISSON.DIST(AX$1,$B14,FALSE)/(_xlfn.POISSON.DIST(AX$1,$B14,FALSE)+(1-$B14/AX$1)*_xlfn.POISSON.DIST(AX$1-1,$B14,TRUE))*EXP(-(AX$1-$B14)*'Staffing Calculator'!$B$5/'Staffing Calculator'!$B$6))</f>
        <v/>
      </c>
      <c r="AY14" s="56">
        <f>IF(AY$1&lt;=$B14,0,1-_xlfn.POISSON.DIST(AY$1,$B14,FALSE)/(_xlfn.POISSON.DIST(AY$1,$B14,FALSE)+(1-$B14/AY$1)*_xlfn.POISSON.DIST(AY$1-1,$B14,TRUE))*EXP(-(AY$1-$B14)*'Staffing Calculator'!$B$5/'Staffing Calculator'!$B$6))</f>
        <v/>
      </c>
      <c r="AZ14" s="56">
        <f>IF(AZ$1&lt;=$B14,0,1-_xlfn.POISSON.DIST(AZ$1,$B14,FALSE)/(_xlfn.POISSON.DIST(AZ$1,$B14,FALSE)+(1-$B14/AZ$1)*_xlfn.POISSON.DIST(AZ$1-1,$B14,TRUE))*EXP(-(AZ$1-$B14)*'Staffing Calculator'!$B$5/'Staffing Calculator'!$B$6))</f>
        <v/>
      </c>
      <c r="BA14" s="56">
        <f>IF(BA$1&lt;=$B14,0,1-_xlfn.POISSON.DIST(BA$1,$B14,FALSE)/(_xlfn.POISSON.DIST(BA$1,$B14,FALSE)+(1-$B14/BA$1)*_xlfn.POISSON.DIST(BA$1-1,$B14,TRUE))*EXP(-(BA$1-$B14)*'Staffing Calculator'!$B$5/'Staffing Calculator'!$B$6))</f>
        <v/>
      </c>
      <c r="BB14" s="56">
        <f>IF(BB$1&lt;=$B14,0,1-_xlfn.POISSON.DIST(BB$1,$B14,FALSE)/(_xlfn.POISSON.DIST(BB$1,$B14,FALSE)+(1-$B14/BB$1)*_xlfn.POISSON.DIST(BB$1-1,$B14,TRUE))*EXP(-(BB$1-$B14)*'Staffing Calculator'!$B$5/'Staffing Calculator'!$B$6))</f>
        <v/>
      </c>
      <c r="BC14" s="56">
        <f>IF(BC$1&lt;=$B14,0,1-_xlfn.POISSON.DIST(BC$1,$B14,FALSE)/(_xlfn.POISSON.DIST(BC$1,$B14,FALSE)+(1-$B14/BC$1)*_xlfn.POISSON.DIST(BC$1-1,$B14,TRUE))*EXP(-(BC$1-$B14)*'Staffing Calculator'!$B$5/'Staffing Calculator'!$B$6))</f>
        <v/>
      </c>
      <c r="BD14" s="56">
        <f>IF(BD$1&lt;=$B14,0,1-_xlfn.POISSON.DIST(BD$1,$B14,FALSE)/(_xlfn.POISSON.DIST(BD$1,$B14,FALSE)+(1-$B14/BD$1)*_xlfn.POISSON.DIST(BD$1-1,$B14,TRUE))*EXP(-(BD$1-$B14)*'Staffing Calculator'!$B$5/'Staffing Calculator'!$B$6))</f>
        <v/>
      </c>
      <c r="BE14" s="56">
        <f>IF(BE$1&lt;=$B14,0,1-_xlfn.POISSON.DIST(BE$1,$B14,FALSE)/(_xlfn.POISSON.DIST(BE$1,$B14,FALSE)+(1-$B14/BE$1)*_xlfn.POISSON.DIST(BE$1-1,$B14,TRUE))*EXP(-(BE$1-$B14)*'Staffing Calculator'!$B$5/'Staffing Calculator'!$B$6))</f>
        <v/>
      </c>
      <c r="BF14" s="56">
        <f>IF(BF$1&lt;=$B14,0,1-_xlfn.POISSON.DIST(BF$1,$B14,FALSE)/(_xlfn.POISSON.DIST(BF$1,$B14,FALSE)+(1-$B14/BF$1)*_xlfn.POISSON.DIST(BF$1-1,$B14,TRUE))*EXP(-(BF$1-$B14)*'Staffing Calculator'!$B$5/'Staffing Calculator'!$B$6))</f>
        <v/>
      </c>
      <c r="BG14" s="56">
        <f>IF(BG$1&lt;=$B14,0,1-_xlfn.POISSON.DIST(BG$1,$B14,FALSE)/(_xlfn.POISSON.DIST(BG$1,$B14,FALSE)+(1-$B14/BG$1)*_xlfn.POISSON.DIST(BG$1-1,$B14,TRUE))*EXP(-(BG$1-$B14)*'Staffing Calculator'!$B$5/'Staffing Calculator'!$B$6))</f>
        <v/>
      </c>
      <c r="BH14" s="56">
        <f>IF(BH$1&lt;=$B14,0,1-_xlfn.POISSON.DIST(BH$1,$B14,FALSE)/(_xlfn.POISSON.DIST(BH$1,$B14,FALSE)+(1-$B14/BH$1)*_xlfn.POISSON.DIST(BH$1-1,$B14,TRUE))*EXP(-(BH$1-$B14)*'Staffing Calculator'!$B$5/'Staffing Calculator'!$B$6))</f>
        <v/>
      </c>
      <c r="BI14" s="56">
        <f>IF(BI$1&lt;=$B14,0,1-_xlfn.POISSON.DIST(BI$1,$B14,FALSE)/(_xlfn.POISSON.DIST(BI$1,$B14,FALSE)+(1-$B14/BI$1)*_xlfn.POISSON.DIST(BI$1-1,$B14,TRUE))*EXP(-(BI$1-$B14)*'Staffing Calculator'!$B$5/'Staffing Calculator'!$B$6))</f>
        <v/>
      </c>
      <c r="BJ14" s="56">
        <f>IF(BJ$1&lt;=$B14,0,1-_xlfn.POISSON.DIST(BJ$1,$B14,FALSE)/(_xlfn.POISSON.DIST(BJ$1,$B14,FALSE)+(1-$B14/BJ$1)*_xlfn.POISSON.DIST(BJ$1-1,$B14,TRUE))*EXP(-(BJ$1-$B14)*'Staffing Calculator'!$B$5/'Staffing Calculator'!$B$6))</f>
        <v/>
      </c>
    </row>
    <row r="15">
      <c r="A15" s="54">
        <f>'Staffing Calculator'!A15</f>
        <v/>
      </c>
      <c r="B15" s="55">
        <f>'Staffing Calculator'!C15</f>
        <v/>
      </c>
      <c r="C15" s="56">
        <f>IF(C$1&lt;=$B15,0,1-_xlfn.POISSON.DIST(C$1,$B15,FALSE)/(_xlfn.POISSON.DIST(C$1,$B15,FALSE)+(1-$B15/C$1)*_xlfn.POISSON.DIST(C$1-1,$B15,TRUE))*EXP(-(C$1-$B15)*'Staffing Calculator'!$B$5/'Staffing Calculator'!$B$6))</f>
        <v/>
      </c>
      <c r="D15" s="56">
        <f>IF(D$1&lt;=$B15,0,1-_xlfn.POISSON.DIST(D$1,$B15,FALSE)/(_xlfn.POISSON.DIST(D$1,$B15,FALSE)+(1-$B15/D$1)*_xlfn.POISSON.DIST(D$1-1,$B15,TRUE))*EXP(-(D$1-$B15)*'Staffing Calculator'!$B$5/'Staffing Calculator'!$B$6))</f>
        <v/>
      </c>
      <c r="E15" s="56">
        <f>IF(E$1&lt;=$B15,0,1-_xlfn.POISSON.DIST(E$1,$B15,FALSE)/(_xlfn.POISSON.DIST(E$1,$B15,FALSE)+(1-$B15/E$1)*_xlfn.POISSON.DIST(E$1-1,$B15,TRUE))*EXP(-(E$1-$B15)*'Staffing Calculator'!$B$5/'Staffing Calculator'!$B$6))</f>
        <v/>
      </c>
      <c r="F15" s="56">
        <f>IF(F$1&lt;=$B15,0,1-_xlfn.POISSON.DIST(F$1,$B15,FALSE)/(_xlfn.POISSON.DIST(F$1,$B15,FALSE)+(1-$B15/F$1)*_xlfn.POISSON.DIST(F$1-1,$B15,TRUE))*EXP(-(F$1-$B15)*'Staffing Calculator'!$B$5/'Staffing Calculator'!$B$6))</f>
        <v/>
      </c>
      <c r="G15" s="56">
        <f>IF(G$1&lt;=$B15,0,1-_xlfn.POISSON.DIST(G$1,$B15,FALSE)/(_xlfn.POISSON.DIST(G$1,$B15,FALSE)+(1-$B15/G$1)*_xlfn.POISSON.DIST(G$1-1,$B15,TRUE))*EXP(-(G$1-$B15)*'Staffing Calculator'!$B$5/'Staffing Calculator'!$B$6))</f>
        <v/>
      </c>
      <c r="H15" s="56">
        <f>IF(H$1&lt;=$B15,0,1-_xlfn.POISSON.DIST(H$1,$B15,FALSE)/(_xlfn.POISSON.DIST(H$1,$B15,FALSE)+(1-$B15/H$1)*_xlfn.POISSON.DIST(H$1-1,$B15,TRUE))*EXP(-(H$1-$B15)*'Staffing Calculator'!$B$5/'Staffing Calculator'!$B$6))</f>
        <v/>
      </c>
      <c r="I15" s="56">
        <f>IF(I$1&lt;=$B15,0,1-_xlfn.POISSON.DIST(I$1,$B15,FALSE)/(_xlfn.POISSON.DIST(I$1,$B15,FALSE)+(1-$B15/I$1)*_xlfn.POISSON.DIST(I$1-1,$B15,TRUE))*EXP(-(I$1-$B15)*'Staffing Calculator'!$B$5/'Staffing Calculator'!$B$6))</f>
        <v/>
      </c>
      <c r="J15" s="56">
        <f>IF(J$1&lt;=$B15,0,1-_xlfn.POISSON.DIST(J$1,$B15,FALSE)/(_xlfn.POISSON.DIST(J$1,$B15,FALSE)+(1-$B15/J$1)*_xlfn.POISSON.DIST(J$1-1,$B15,TRUE))*EXP(-(J$1-$B15)*'Staffing Calculator'!$B$5/'Staffing Calculator'!$B$6))</f>
        <v/>
      </c>
      <c r="K15" s="56">
        <f>IF(K$1&lt;=$B15,0,1-_xlfn.POISSON.DIST(K$1,$B15,FALSE)/(_xlfn.POISSON.DIST(K$1,$B15,FALSE)+(1-$B15/K$1)*_xlfn.POISSON.DIST(K$1-1,$B15,TRUE))*EXP(-(K$1-$B15)*'Staffing Calculator'!$B$5/'Staffing Calculator'!$B$6))</f>
        <v/>
      </c>
      <c r="L15" s="56">
        <f>IF(L$1&lt;=$B15,0,1-_xlfn.POISSON.DIST(L$1,$B15,FALSE)/(_xlfn.POISSON.DIST(L$1,$B15,FALSE)+(1-$B15/L$1)*_xlfn.POISSON.DIST(L$1-1,$B15,TRUE))*EXP(-(L$1-$B15)*'Staffing Calculator'!$B$5/'Staffing Calculator'!$B$6))</f>
        <v/>
      </c>
      <c r="M15" s="56">
        <f>IF(M$1&lt;=$B15,0,1-_xlfn.POISSON.DIST(M$1,$B15,FALSE)/(_xlfn.POISSON.DIST(M$1,$B15,FALSE)+(1-$B15/M$1)*_xlfn.POISSON.DIST(M$1-1,$B15,TRUE))*EXP(-(M$1-$B15)*'Staffing Calculator'!$B$5/'Staffing Calculator'!$B$6))</f>
        <v/>
      </c>
      <c r="N15" s="56">
        <f>IF(N$1&lt;=$B15,0,1-_xlfn.POISSON.DIST(N$1,$B15,FALSE)/(_xlfn.POISSON.DIST(N$1,$B15,FALSE)+(1-$B15/N$1)*_xlfn.POISSON.DIST(N$1-1,$B15,TRUE))*EXP(-(N$1-$B15)*'Staffing Calculator'!$B$5/'Staffing Calculator'!$B$6))</f>
        <v/>
      </c>
      <c r="O15" s="56">
        <f>IF(O$1&lt;=$B15,0,1-_xlfn.POISSON.DIST(O$1,$B15,FALSE)/(_xlfn.POISSON.DIST(O$1,$B15,FALSE)+(1-$B15/O$1)*_xlfn.POISSON.DIST(O$1-1,$B15,TRUE))*EXP(-(O$1-$B15)*'Staffing Calculator'!$B$5/'Staffing Calculator'!$B$6))</f>
        <v/>
      </c>
      <c r="P15" s="56">
        <f>IF(P$1&lt;=$B15,0,1-_xlfn.POISSON.DIST(P$1,$B15,FALSE)/(_xlfn.POISSON.DIST(P$1,$B15,FALSE)+(1-$B15/P$1)*_xlfn.POISSON.DIST(P$1-1,$B15,TRUE))*EXP(-(P$1-$B15)*'Staffing Calculator'!$B$5/'Staffing Calculator'!$B$6))</f>
        <v/>
      </c>
      <c r="Q15" s="56">
        <f>IF(Q$1&lt;=$B15,0,1-_xlfn.POISSON.DIST(Q$1,$B15,FALSE)/(_xlfn.POISSON.DIST(Q$1,$B15,FALSE)+(1-$B15/Q$1)*_xlfn.POISSON.DIST(Q$1-1,$B15,TRUE))*EXP(-(Q$1-$B15)*'Staffing Calculator'!$B$5/'Staffing Calculator'!$B$6))</f>
        <v/>
      </c>
      <c r="R15" s="56">
        <f>IF(R$1&lt;=$B15,0,1-_xlfn.POISSON.DIST(R$1,$B15,FALSE)/(_xlfn.POISSON.DIST(R$1,$B15,FALSE)+(1-$B15/R$1)*_xlfn.POISSON.DIST(R$1-1,$B15,TRUE))*EXP(-(R$1-$B15)*'Staffing Calculator'!$B$5/'Staffing Calculator'!$B$6))</f>
        <v/>
      </c>
      <c r="S15" s="56">
        <f>IF(S$1&lt;=$B15,0,1-_xlfn.POISSON.DIST(S$1,$B15,FALSE)/(_xlfn.POISSON.DIST(S$1,$B15,FALSE)+(1-$B15/S$1)*_xlfn.POISSON.DIST(S$1-1,$B15,TRUE))*EXP(-(S$1-$B15)*'Staffing Calculator'!$B$5/'Staffing Calculator'!$B$6))</f>
        <v/>
      </c>
      <c r="T15" s="56">
        <f>IF(T$1&lt;=$B15,0,1-_xlfn.POISSON.DIST(T$1,$B15,FALSE)/(_xlfn.POISSON.DIST(T$1,$B15,FALSE)+(1-$B15/T$1)*_xlfn.POISSON.DIST(T$1-1,$B15,TRUE))*EXP(-(T$1-$B15)*'Staffing Calculator'!$B$5/'Staffing Calculator'!$B$6))</f>
        <v/>
      </c>
      <c r="U15" s="56">
        <f>IF(U$1&lt;=$B15,0,1-_xlfn.POISSON.DIST(U$1,$B15,FALSE)/(_xlfn.POISSON.DIST(U$1,$B15,FALSE)+(1-$B15/U$1)*_xlfn.POISSON.DIST(U$1-1,$B15,TRUE))*EXP(-(U$1-$B15)*'Staffing Calculator'!$B$5/'Staffing Calculator'!$B$6))</f>
        <v/>
      </c>
      <c r="V15" s="56">
        <f>IF(V$1&lt;=$B15,0,1-_xlfn.POISSON.DIST(V$1,$B15,FALSE)/(_xlfn.POISSON.DIST(V$1,$B15,FALSE)+(1-$B15/V$1)*_xlfn.POISSON.DIST(V$1-1,$B15,TRUE))*EXP(-(V$1-$B15)*'Staffing Calculator'!$B$5/'Staffing Calculator'!$B$6))</f>
        <v/>
      </c>
      <c r="W15" s="56">
        <f>IF(W$1&lt;=$B15,0,1-_xlfn.POISSON.DIST(W$1,$B15,FALSE)/(_xlfn.POISSON.DIST(W$1,$B15,FALSE)+(1-$B15/W$1)*_xlfn.POISSON.DIST(W$1-1,$B15,TRUE))*EXP(-(W$1-$B15)*'Staffing Calculator'!$B$5/'Staffing Calculator'!$B$6))</f>
        <v/>
      </c>
      <c r="X15" s="56">
        <f>IF(X$1&lt;=$B15,0,1-_xlfn.POISSON.DIST(X$1,$B15,FALSE)/(_xlfn.POISSON.DIST(X$1,$B15,FALSE)+(1-$B15/X$1)*_xlfn.POISSON.DIST(X$1-1,$B15,TRUE))*EXP(-(X$1-$B15)*'Staffing Calculator'!$B$5/'Staffing Calculator'!$B$6))</f>
        <v/>
      </c>
      <c r="Y15" s="56">
        <f>IF(Y$1&lt;=$B15,0,1-_xlfn.POISSON.DIST(Y$1,$B15,FALSE)/(_xlfn.POISSON.DIST(Y$1,$B15,FALSE)+(1-$B15/Y$1)*_xlfn.POISSON.DIST(Y$1-1,$B15,TRUE))*EXP(-(Y$1-$B15)*'Staffing Calculator'!$B$5/'Staffing Calculator'!$B$6))</f>
        <v/>
      </c>
      <c r="Z15" s="56">
        <f>IF(Z$1&lt;=$B15,0,1-_xlfn.POISSON.DIST(Z$1,$B15,FALSE)/(_xlfn.POISSON.DIST(Z$1,$B15,FALSE)+(1-$B15/Z$1)*_xlfn.POISSON.DIST(Z$1-1,$B15,TRUE))*EXP(-(Z$1-$B15)*'Staffing Calculator'!$B$5/'Staffing Calculator'!$B$6))</f>
        <v/>
      </c>
      <c r="AA15" s="56">
        <f>IF(AA$1&lt;=$B15,0,1-_xlfn.POISSON.DIST(AA$1,$B15,FALSE)/(_xlfn.POISSON.DIST(AA$1,$B15,FALSE)+(1-$B15/AA$1)*_xlfn.POISSON.DIST(AA$1-1,$B15,TRUE))*EXP(-(AA$1-$B15)*'Staffing Calculator'!$B$5/'Staffing Calculator'!$B$6))</f>
        <v/>
      </c>
      <c r="AB15" s="56">
        <f>IF(AB$1&lt;=$B15,0,1-_xlfn.POISSON.DIST(AB$1,$B15,FALSE)/(_xlfn.POISSON.DIST(AB$1,$B15,FALSE)+(1-$B15/AB$1)*_xlfn.POISSON.DIST(AB$1-1,$B15,TRUE))*EXP(-(AB$1-$B15)*'Staffing Calculator'!$B$5/'Staffing Calculator'!$B$6))</f>
        <v/>
      </c>
      <c r="AC15" s="56">
        <f>IF(AC$1&lt;=$B15,0,1-_xlfn.POISSON.DIST(AC$1,$B15,FALSE)/(_xlfn.POISSON.DIST(AC$1,$B15,FALSE)+(1-$B15/AC$1)*_xlfn.POISSON.DIST(AC$1-1,$B15,TRUE))*EXP(-(AC$1-$B15)*'Staffing Calculator'!$B$5/'Staffing Calculator'!$B$6))</f>
        <v/>
      </c>
      <c r="AD15" s="56">
        <f>IF(AD$1&lt;=$B15,0,1-_xlfn.POISSON.DIST(AD$1,$B15,FALSE)/(_xlfn.POISSON.DIST(AD$1,$B15,FALSE)+(1-$B15/AD$1)*_xlfn.POISSON.DIST(AD$1-1,$B15,TRUE))*EXP(-(AD$1-$B15)*'Staffing Calculator'!$B$5/'Staffing Calculator'!$B$6))</f>
        <v/>
      </c>
      <c r="AE15" s="56">
        <f>IF(AE$1&lt;=$B15,0,1-_xlfn.POISSON.DIST(AE$1,$B15,FALSE)/(_xlfn.POISSON.DIST(AE$1,$B15,FALSE)+(1-$B15/AE$1)*_xlfn.POISSON.DIST(AE$1-1,$B15,TRUE))*EXP(-(AE$1-$B15)*'Staffing Calculator'!$B$5/'Staffing Calculator'!$B$6))</f>
        <v/>
      </c>
      <c r="AF15" s="56">
        <f>IF(AF$1&lt;=$B15,0,1-_xlfn.POISSON.DIST(AF$1,$B15,FALSE)/(_xlfn.POISSON.DIST(AF$1,$B15,FALSE)+(1-$B15/AF$1)*_xlfn.POISSON.DIST(AF$1-1,$B15,TRUE))*EXP(-(AF$1-$B15)*'Staffing Calculator'!$B$5/'Staffing Calculator'!$B$6))</f>
        <v/>
      </c>
      <c r="AG15" s="56">
        <f>IF(AG$1&lt;=$B15,0,1-_xlfn.POISSON.DIST(AG$1,$B15,FALSE)/(_xlfn.POISSON.DIST(AG$1,$B15,FALSE)+(1-$B15/AG$1)*_xlfn.POISSON.DIST(AG$1-1,$B15,TRUE))*EXP(-(AG$1-$B15)*'Staffing Calculator'!$B$5/'Staffing Calculator'!$B$6))</f>
        <v/>
      </c>
      <c r="AH15" s="56">
        <f>IF(AH$1&lt;=$B15,0,1-_xlfn.POISSON.DIST(AH$1,$B15,FALSE)/(_xlfn.POISSON.DIST(AH$1,$B15,FALSE)+(1-$B15/AH$1)*_xlfn.POISSON.DIST(AH$1-1,$B15,TRUE))*EXP(-(AH$1-$B15)*'Staffing Calculator'!$B$5/'Staffing Calculator'!$B$6))</f>
        <v/>
      </c>
      <c r="AI15" s="56">
        <f>IF(AI$1&lt;=$B15,0,1-_xlfn.POISSON.DIST(AI$1,$B15,FALSE)/(_xlfn.POISSON.DIST(AI$1,$B15,FALSE)+(1-$B15/AI$1)*_xlfn.POISSON.DIST(AI$1-1,$B15,TRUE))*EXP(-(AI$1-$B15)*'Staffing Calculator'!$B$5/'Staffing Calculator'!$B$6))</f>
        <v/>
      </c>
      <c r="AJ15" s="56">
        <f>IF(AJ$1&lt;=$B15,0,1-_xlfn.POISSON.DIST(AJ$1,$B15,FALSE)/(_xlfn.POISSON.DIST(AJ$1,$B15,FALSE)+(1-$B15/AJ$1)*_xlfn.POISSON.DIST(AJ$1-1,$B15,TRUE))*EXP(-(AJ$1-$B15)*'Staffing Calculator'!$B$5/'Staffing Calculator'!$B$6))</f>
        <v/>
      </c>
      <c r="AK15" s="56">
        <f>IF(AK$1&lt;=$B15,0,1-_xlfn.POISSON.DIST(AK$1,$B15,FALSE)/(_xlfn.POISSON.DIST(AK$1,$B15,FALSE)+(1-$B15/AK$1)*_xlfn.POISSON.DIST(AK$1-1,$B15,TRUE))*EXP(-(AK$1-$B15)*'Staffing Calculator'!$B$5/'Staffing Calculator'!$B$6))</f>
        <v/>
      </c>
      <c r="AL15" s="56">
        <f>IF(AL$1&lt;=$B15,0,1-_xlfn.POISSON.DIST(AL$1,$B15,FALSE)/(_xlfn.POISSON.DIST(AL$1,$B15,FALSE)+(1-$B15/AL$1)*_xlfn.POISSON.DIST(AL$1-1,$B15,TRUE))*EXP(-(AL$1-$B15)*'Staffing Calculator'!$B$5/'Staffing Calculator'!$B$6))</f>
        <v/>
      </c>
      <c r="AM15" s="56">
        <f>IF(AM$1&lt;=$B15,0,1-_xlfn.POISSON.DIST(AM$1,$B15,FALSE)/(_xlfn.POISSON.DIST(AM$1,$B15,FALSE)+(1-$B15/AM$1)*_xlfn.POISSON.DIST(AM$1-1,$B15,TRUE))*EXP(-(AM$1-$B15)*'Staffing Calculator'!$B$5/'Staffing Calculator'!$B$6))</f>
        <v/>
      </c>
      <c r="AN15" s="56">
        <f>IF(AN$1&lt;=$B15,0,1-_xlfn.POISSON.DIST(AN$1,$B15,FALSE)/(_xlfn.POISSON.DIST(AN$1,$B15,FALSE)+(1-$B15/AN$1)*_xlfn.POISSON.DIST(AN$1-1,$B15,TRUE))*EXP(-(AN$1-$B15)*'Staffing Calculator'!$B$5/'Staffing Calculator'!$B$6))</f>
        <v/>
      </c>
      <c r="AO15" s="56">
        <f>IF(AO$1&lt;=$B15,0,1-_xlfn.POISSON.DIST(AO$1,$B15,FALSE)/(_xlfn.POISSON.DIST(AO$1,$B15,FALSE)+(1-$B15/AO$1)*_xlfn.POISSON.DIST(AO$1-1,$B15,TRUE))*EXP(-(AO$1-$B15)*'Staffing Calculator'!$B$5/'Staffing Calculator'!$B$6))</f>
        <v/>
      </c>
      <c r="AP15" s="56">
        <f>IF(AP$1&lt;=$B15,0,1-_xlfn.POISSON.DIST(AP$1,$B15,FALSE)/(_xlfn.POISSON.DIST(AP$1,$B15,FALSE)+(1-$B15/AP$1)*_xlfn.POISSON.DIST(AP$1-1,$B15,TRUE))*EXP(-(AP$1-$B15)*'Staffing Calculator'!$B$5/'Staffing Calculator'!$B$6))</f>
        <v/>
      </c>
      <c r="AQ15" s="56">
        <f>IF(AQ$1&lt;=$B15,0,1-_xlfn.POISSON.DIST(AQ$1,$B15,FALSE)/(_xlfn.POISSON.DIST(AQ$1,$B15,FALSE)+(1-$B15/AQ$1)*_xlfn.POISSON.DIST(AQ$1-1,$B15,TRUE))*EXP(-(AQ$1-$B15)*'Staffing Calculator'!$B$5/'Staffing Calculator'!$B$6))</f>
        <v/>
      </c>
      <c r="AR15" s="56">
        <f>IF(AR$1&lt;=$B15,0,1-_xlfn.POISSON.DIST(AR$1,$B15,FALSE)/(_xlfn.POISSON.DIST(AR$1,$B15,FALSE)+(1-$B15/AR$1)*_xlfn.POISSON.DIST(AR$1-1,$B15,TRUE))*EXP(-(AR$1-$B15)*'Staffing Calculator'!$B$5/'Staffing Calculator'!$B$6))</f>
        <v/>
      </c>
      <c r="AS15" s="56">
        <f>IF(AS$1&lt;=$B15,0,1-_xlfn.POISSON.DIST(AS$1,$B15,FALSE)/(_xlfn.POISSON.DIST(AS$1,$B15,FALSE)+(1-$B15/AS$1)*_xlfn.POISSON.DIST(AS$1-1,$B15,TRUE))*EXP(-(AS$1-$B15)*'Staffing Calculator'!$B$5/'Staffing Calculator'!$B$6))</f>
        <v/>
      </c>
      <c r="AT15" s="56">
        <f>IF(AT$1&lt;=$B15,0,1-_xlfn.POISSON.DIST(AT$1,$B15,FALSE)/(_xlfn.POISSON.DIST(AT$1,$B15,FALSE)+(1-$B15/AT$1)*_xlfn.POISSON.DIST(AT$1-1,$B15,TRUE))*EXP(-(AT$1-$B15)*'Staffing Calculator'!$B$5/'Staffing Calculator'!$B$6))</f>
        <v/>
      </c>
      <c r="AU15" s="56">
        <f>IF(AU$1&lt;=$B15,0,1-_xlfn.POISSON.DIST(AU$1,$B15,FALSE)/(_xlfn.POISSON.DIST(AU$1,$B15,FALSE)+(1-$B15/AU$1)*_xlfn.POISSON.DIST(AU$1-1,$B15,TRUE))*EXP(-(AU$1-$B15)*'Staffing Calculator'!$B$5/'Staffing Calculator'!$B$6))</f>
        <v/>
      </c>
      <c r="AV15" s="56">
        <f>IF(AV$1&lt;=$B15,0,1-_xlfn.POISSON.DIST(AV$1,$B15,FALSE)/(_xlfn.POISSON.DIST(AV$1,$B15,FALSE)+(1-$B15/AV$1)*_xlfn.POISSON.DIST(AV$1-1,$B15,TRUE))*EXP(-(AV$1-$B15)*'Staffing Calculator'!$B$5/'Staffing Calculator'!$B$6))</f>
        <v/>
      </c>
      <c r="AW15" s="56">
        <f>IF(AW$1&lt;=$B15,0,1-_xlfn.POISSON.DIST(AW$1,$B15,FALSE)/(_xlfn.POISSON.DIST(AW$1,$B15,FALSE)+(1-$B15/AW$1)*_xlfn.POISSON.DIST(AW$1-1,$B15,TRUE))*EXP(-(AW$1-$B15)*'Staffing Calculator'!$B$5/'Staffing Calculator'!$B$6))</f>
        <v/>
      </c>
      <c r="AX15" s="56">
        <f>IF(AX$1&lt;=$B15,0,1-_xlfn.POISSON.DIST(AX$1,$B15,FALSE)/(_xlfn.POISSON.DIST(AX$1,$B15,FALSE)+(1-$B15/AX$1)*_xlfn.POISSON.DIST(AX$1-1,$B15,TRUE))*EXP(-(AX$1-$B15)*'Staffing Calculator'!$B$5/'Staffing Calculator'!$B$6))</f>
        <v/>
      </c>
      <c r="AY15" s="56">
        <f>IF(AY$1&lt;=$B15,0,1-_xlfn.POISSON.DIST(AY$1,$B15,FALSE)/(_xlfn.POISSON.DIST(AY$1,$B15,FALSE)+(1-$B15/AY$1)*_xlfn.POISSON.DIST(AY$1-1,$B15,TRUE))*EXP(-(AY$1-$B15)*'Staffing Calculator'!$B$5/'Staffing Calculator'!$B$6))</f>
        <v/>
      </c>
      <c r="AZ15" s="56">
        <f>IF(AZ$1&lt;=$B15,0,1-_xlfn.POISSON.DIST(AZ$1,$B15,FALSE)/(_xlfn.POISSON.DIST(AZ$1,$B15,FALSE)+(1-$B15/AZ$1)*_xlfn.POISSON.DIST(AZ$1-1,$B15,TRUE))*EXP(-(AZ$1-$B15)*'Staffing Calculator'!$B$5/'Staffing Calculator'!$B$6))</f>
        <v/>
      </c>
      <c r="BA15" s="56">
        <f>IF(BA$1&lt;=$B15,0,1-_xlfn.POISSON.DIST(BA$1,$B15,FALSE)/(_xlfn.POISSON.DIST(BA$1,$B15,FALSE)+(1-$B15/BA$1)*_xlfn.POISSON.DIST(BA$1-1,$B15,TRUE))*EXP(-(BA$1-$B15)*'Staffing Calculator'!$B$5/'Staffing Calculator'!$B$6))</f>
        <v/>
      </c>
      <c r="BB15" s="56">
        <f>IF(BB$1&lt;=$B15,0,1-_xlfn.POISSON.DIST(BB$1,$B15,FALSE)/(_xlfn.POISSON.DIST(BB$1,$B15,FALSE)+(1-$B15/BB$1)*_xlfn.POISSON.DIST(BB$1-1,$B15,TRUE))*EXP(-(BB$1-$B15)*'Staffing Calculator'!$B$5/'Staffing Calculator'!$B$6))</f>
        <v/>
      </c>
      <c r="BC15" s="56">
        <f>IF(BC$1&lt;=$B15,0,1-_xlfn.POISSON.DIST(BC$1,$B15,FALSE)/(_xlfn.POISSON.DIST(BC$1,$B15,FALSE)+(1-$B15/BC$1)*_xlfn.POISSON.DIST(BC$1-1,$B15,TRUE))*EXP(-(BC$1-$B15)*'Staffing Calculator'!$B$5/'Staffing Calculator'!$B$6))</f>
        <v/>
      </c>
      <c r="BD15" s="56">
        <f>IF(BD$1&lt;=$B15,0,1-_xlfn.POISSON.DIST(BD$1,$B15,FALSE)/(_xlfn.POISSON.DIST(BD$1,$B15,FALSE)+(1-$B15/BD$1)*_xlfn.POISSON.DIST(BD$1-1,$B15,TRUE))*EXP(-(BD$1-$B15)*'Staffing Calculator'!$B$5/'Staffing Calculator'!$B$6))</f>
        <v/>
      </c>
      <c r="BE15" s="56">
        <f>IF(BE$1&lt;=$B15,0,1-_xlfn.POISSON.DIST(BE$1,$B15,FALSE)/(_xlfn.POISSON.DIST(BE$1,$B15,FALSE)+(1-$B15/BE$1)*_xlfn.POISSON.DIST(BE$1-1,$B15,TRUE))*EXP(-(BE$1-$B15)*'Staffing Calculator'!$B$5/'Staffing Calculator'!$B$6))</f>
        <v/>
      </c>
      <c r="BF15" s="56">
        <f>IF(BF$1&lt;=$B15,0,1-_xlfn.POISSON.DIST(BF$1,$B15,FALSE)/(_xlfn.POISSON.DIST(BF$1,$B15,FALSE)+(1-$B15/BF$1)*_xlfn.POISSON.DIST(BF$1-1,$B15,TRUE))*EXP(-(BF$1-$B15)*'Staffing Calculator'!$B$5/'Staffing Calculator'!$B$6))</f>
        <v/>
      </c>
      <c r="BG15" s="56">
        <f>IF(BG$1&lt;=$B15,0,1-_xlfn.POISSON.DIST(BG$1,$B15,FALSE)/(_xlfn.POISSON.DIST(BG$1,$B15,FALSE)+(1-$B15/BG$1)*_xlfn.POISSON.DIST(BG$1-1,$B15,TRUE))*EXP(-(BG$1-$B15)*'Staffing Calculator'!$B$5/'Staffing Calculator'!$B$6))</f>
        <v/>
      </c>
      <c r="BH15" s="56">
        <f>IF(BH$1&lt;=$B15,0,1-_xlfn.POISSON.DIST(BH$1,$B15,FALSE)/(_xlfn.POISSON.DIST(BH$1,$B15,FALSE)+(1-$B15/BH$1)*_xlfn.POISSON.DIST(BH$1-1,$B15,TRUE))*EXP(-(BH$1-$B15)*'Staffing Calculator'!$B$5/'Staffing Calculator'!$B$6))</f>
        <v/>
      </c>
      <c r="BI15" s="56">
        <f>IF(BI$1&lt;=$B15,0,1-_xlfn.POISSON.DIST(BI$1,$B15,FALSE)/(_xlfn.POISSON.DIST(BI$1,$B15,FALSE)+(1-$B15/BI$1)*_xlfn.POISSON.DIST(BI$1-1,$B15,TRUE))*EXP(-(BI$1-$B15)*'Staffing Calculator'!$B$5/'Staffing Calculator'!$B$6))</f>
        <v/>
      </c>
      <c r="BJ15" s="56">
        <f>IF(BJ$1&lt;=$B15,0,1-_xlfn.POISSON.DIST(BJ$1,$B15,FALSE)/(_xlfn.POISSON.DIST(BJ$1,$B15,FALSE)+(1-$B15/BJ$1)*_xlfn.POISSON.DIST(BJ$1-1,$B15,TRUE))*EXP(-(BJ$1-$B15)*'Staffing Calculator'!$B$5/'Staffing Calculator'!$B$6))</f>
        <v/>
      </c>
    </row>
    <row r="16">
      <c r="A16" s="54">
        <f>'Staffing Calculator'!A16</f>
        <v/>
      </c>
      <c r="B16" s="55">
        <f>'Staffing Calculator'!C16</f>
        <v/>
      </c>
      <c r="C16" s="56">
        <f>IF(C$1&lt;=$B16,0,1-_xlfn.POISSON.DIST(C$1,$B16,FALSE)/(_xlfn.POISSON.DIST(C$1,$B16,FALSE)+(1-$B16/C$1)*_xlfn.POISSON.DIST(C$1-1,$B16,TRUE))*EXP(-(C$1-$B16)*'Staffing Calculator'!$B$5/'Staffing Calculator'!$B$6))</f>
        <v/>
      </c>
      <c r="D16" s="56">
        <f>IF(D$1&lt;=$B16,0,1-_xlfn.POISSON.DIST(D$1,$B16,FALSE)/(_xlfn.POISSON.DIST(D$1,$B16,FALSE)+(1-$B16/D$1)*_xlfn.POISSON.DIST(D$1-1,$B16,TRUE))*EXP(-(D$1-$B16)*'Staffing Calculator'!$B$5/'Staffing Calculator'!$B$6))</f>
        <v/>
      </c>
      <c r="E16" s="56">
        <f>IF(E$1&lt;=$B16,0,1-_xlfn.POISSON.DIST(E$1,$B16,FALSE)/(_xlfn.POISSON.DIST(E$1,$B16,FALSE)+(1-$B16/E$1)*_xlfn.POISSON.DIST(E$1-1,$B16,TRUE))*EXP(-(E$1-$B16)*'Staffing Calculator'!$B$5/'Staffing Calculator'!$B$6))</f>
        <v/>
      </c>
      <c r="F16" s="56">
        <f>IF(F$1&lt;=$B16,0,1-_xlfn.POISSON.DIST(F$1,$B16,FALSE)/(_xlfn.POISSON.DIST(F$1,$B16,FALSE)+(1-$B16/F$1)*_xlfn.POISSON.DIST(F$1-1,$B16,TRUE))*EXP(-(F$1-$B16)*'Staffing Calculator'!$B$5/'Staffing Calculator'!$B$6))</f>
        <v/>
      </c>
      <c r="G16" s="56">
        <f>IF(G$1&lt;=$B16,0,1-_xlfn.POISSON.DIST(G$1,$B16,FALSE)/(_xlfn.POISSON.DIST(G$1,$B16,FALSE)+(1-$B16/G$1)*_xlfn.POISSON.DIST(G$1-1,$B16,TRUE))*EXP(-(G$1-$B16)*'Staffing Calculator'!$B$5/'Staffing Calculator'!$B$6))</f>
        <v/>
      </c>
      <c r="H16" s="56">
        <f>IF(H$1&lt;=$B16,0,1-_xlfn.POISSON.DIST(H$1,$B16,FALSE)/(_xlfn.POISSON.DIST(H$1,$B16,FALSE)+(1-$B16/H$1)*_xlfn.POISSON.DIST(H$1-1,$B16,TRUE))*EXP(-(H$1-$B16)*'Staffing Calculator'!$B$5/'Staffing Calculator'!$B$6))</f>
        <v/>
      </c>
      <c r="I16" s="56">
        <f>IF(I$1&lt;=$B16,0,1-_xlfn.POISSON.DIST(I$1,$B16,FALSE)/(_xlfn.POISSON.DIST(I$1,$B16,FALSE)+(1-$B16/I$1)*_xlfn.POISSON.DIST(I$1-1,$B16,TRUE))*EXP(-(I$1-$B16)*'Staffing Calculator'!$B$5/'Staffing Calculator'!$B$6))</f>
        <v/>
      </c>
      <c r="J16" s="56">
        <f>IF(J$1&lt;=$B16,0,1-_xlfn.POISSON.DIST(J$1,$B16,FALSE)/(_xlfn.POISSON.DIST(J$1,$B16,FALSE)+(1-$B16/J$1)*_xlfn.POISSON.DIST(J$1-1,$B16,TRUE))*EXP(-(J$1-$B16)*'Staffing Calculator'!$B$5/'Staffing Calculator'!$B$6))</f>
        <v/>
      </c>
      <c r="K16" s="56">
        <f>IF(K$1&lt;=$B16,0,1-_xlfn.POISSON.DIST(K$1,$B16,FALSE)/(_xlfn.POISSON.DIST(K$1,$B16,FALSE)+(1-$B16/K$1)*_xlfn.POISSON.DIST(K$1-1,$B16,TRUE))*EXP(-(K$1-$B16)*'Staffing Calculator'!$B$5/'Staffing Calculator'!$B$6))</f>
        <v/>
      </c>
      <c r="L16" s="56">
        <f>IF(L$1&lt;=$B16,0,1-_xlfn.POISSON.DIST(L$1,$B16,FALSE)/(_xlfn.POISSON.DIST(L$1,$B16,FALSE)+(1-$B16/L$1)*_xlfn.POISSON.DIST(L$1-1,$B16,TRUE))*EXP(-(L$1-$B16)*'Staffing Calculator'!$B$5/'Staffing Calculator'!$B$6))</f>
        <v/>
      </c>
      <c r="M16" s="56">
        <f>IF(M$1&lt;=$B16,0,1-_xlfn.POISSON.DIST(M$1,$B16,FALSE)/(_xlfn.POISSON.DIST(M$1,$B16,FALSE)+(1-$B16/M$1)*_xlfn.POISSON.DIST(M$1-1,$B16,TRUE))*EXP(-(M$1-$B16)*'Staffing Calculator'!$B$5/'Staffing Calculator'!$B$6))</f>
        <v/>
      </c>
      <c r="N16" s="56">
        <f>IF(N$1&lt;=$B16,0,1-_xlfn.POISSON.DIST(N$1,$B16,FALSE)/(_xlfn.POISSON.DIST(N$1,$B16,FALSE)+(1-$B16/N$1)*_xlfn.POISSON.DIST(N$1-1,$B16,TRUE))*EXP(-(N$1-$B16)*'Staffing Calculator'!$B$5/'Staffing Calculator'!$B$6))</f>
        <v/>
      </c>
      <c r="O16" s="56">
        <f>IF(O$1&lt;=$B16,0,1-_xlfn.POISSON.DIST(O$1,$B16,FALSE)/(_xlfn.POISSON.DIST(O$1,$B16,FALSE)+(1-$B16/O$1)*_xlfn.POISSON.DIST(O$1-1,$B16,TRUE))*EXP(-(O$1-$B16)*'Staffing Calculator'!$B$5/'Staffing Calculator'!$B$6))</f>
        <v/>
      </c>
      <c r="P16" s="56">
        <f>IF(P$1&lt;=$B16,0,1-_xlfn.POISSON.DIST(P$1,$B16,FALSE)/(_xlfn.POISSON.DIST(P$1,$B16,FALSE)+(1-$B16/P$1)*_xlfn.POISSON.DIST(P$1-1,$B16,TRUE))*EXP(-(P$1-$B16)*'Staffing Calculator'!$B$5/'Staffing Calculator'!$B$6))</f>
        <v/>
      </c>
      <c r="Q16" s="56">
        <f>IF(Q$1&lt;=$B16,0,1-_xlfn.POISSON.DIST(Q$1,$B16,FALSE)/(_xlfn.POISSON.DIST(Q$1,$B16,FALSE)+(1-$B16/Q$1)*_xlfn.POISSON.DIST(Q$1-1,$B16,TRUE))*EXP(-(Q$1-$B16)*'Staffing Calculator'!$B$5/'Staffing Calculator'!$B$6))</f>
        <v/>
      </c>
      <c r="R16" s="56">
        <f>IF(R$1&lt;=$B16,0,1-_xlfn.POISSON.DIST(R$1,$B16,FALSE)/(_xlfn.POISSON.DIST(R$1,$B16,FALSE)+(1-$B16/R$1)*_xlfn.POISSON.DIST(R$1-1,$B16,TRUE))*EXP(-(R$1-$B16)*'Staffing Calculator'!$B$5/'Staffing Calculator'!$B$6))</f>
        <v/>
      </c>
      <c r="S16" s="56">
        <f>IF(S$1&lt;=$B16,0,1-_xlfn.POISSON.DIST(S$1,$B16,FALSE)/(_xlfn.POISSON.DIST(S$1,$B16,FALSE)+(1-$B16/S$1)*_xlfn.POISSON.DIST(S$1-1,$B16,TRUE))*EXP(-(S$1-$B16)*'Staffing Calculator'!$B$5/'Staffing Calculator'!$B$6))</f>
        <v/>
      </c>
      <c r="T16" s="56">
        <f>IF(T$1&lt;=$B16,0,1-_xlfn.POISSON.DIST(T$1,$B16,FALSE)/(_xlfn.POISSON.DIST(T$1,$B16,FALSE)+(1-$B16/T$1)*_xlfn.POISSON.DIST(T$1-1,$B16,TRUE))*EXP(-(T$1-$B16)*'Staffing Calculator'!$B$5/'Staffing Calculator'!$B$6))</f>
        <v/>
      </c>
      <c r="U16" s="56">
        <f>IF(U$1&lt;=$B16,0,1-_xlfn.POISSON.DIST(U$1,$B16,FALSE)/(_xlfn.POISSON.DIST(U$1,$B16,FALSE)+(1-$B16/U$1)*_xlfn.POISSON.DIST(U$1-1,$B16,TRUE))*EXP(-(U$1-$B16)*'Staffing Calculator'!$B$5/'Staffing Calculator'!$B$6))</f>
        <v/>
      </c>
      <c r="V16" s="56">
        <f>IF(V$1&lt;=$B16,0,1-_xlfn.POISSON.DIST(V$1,$B16,FALSE)/(_xlfn.POISSON.DIST(V$1,$B16,FALSE)+(1-$B16/V$1)*_xlfn.POISSON.DIST(V$1-1,$B16,TRUE))*EXP(-(V$1-$B16)*'Staffing Calculator'!$B$5/'Staffing Calculator'!$B$6))</f>
        <v/>
      </c>
      <c r="W16" s="56">
        <f>IF(W$1&lt;=$B16,0,1-_xlfn.POISSON.DIST(W$1,$B16,FALSE)/(_xlfn.POISSON.DIST(W$1,$B16,FALSE)+(1-$B16/W$1)*_xlfn.POISSON.DIST(W$1-1,$B16,TRUE))*EXP(-(W$1-$B16)*'Staffing Calculator'!$B$5/'Staffing Calculator'!$B$6))</f>
        <v/>
      </c>
      <c r="X16" s="56">
        <f>IF(X$1&lt;=$B16,0,1-_xlfn.POISSON.DIST(X$1,$B16,FALSE)/(_xlfn.POISSON.DIST(X$1,$B16,FALSE)+(1-$B16/X$1)*_xlfn.POISSON.DIST(X$1-1,$B16,TRUE))*EXP(-(X$1-$B16)*'Staffing Calculator'!$B$5/'Staffing Calculator'!$B$6))</f>
        <v/>
      </c>
      <c r="Y16" s="56">
        <f>IF(Y$1&lt;=$B16,0,1-_xlfn.POISSON.DIST(Y$1,$B16,FALSE)/(_xlfn.POISSON.DIST(Y$1,$B16,FALSE)+(1-$B16/Y$1)*_xlfn.POISSON.DIST(Y$1-1,$B16,TRUE))*EXP(-(Y$1-$B16)*'Staffing Calculator'!$B$5/'Staffing Calculator'!$B$6))</f>
        <v/>
      </c>
      <c r="Z16" s="56">
        <f>IF(Z$1&lt;=$B16,0,1-_xlfn.POISSON.DIST(Z$1,$B16,FALSE)/(_xlfn.POISSON.DIST(Z$1,$B16,FALSE)+(1-$B16/Z$1)*_xlfn.POISSON.DIST(Z$1-1,$B16,TRUE))*EXP(-(Z$1-$B16)*'Staffing Calculator'!$B$5/'Staffing Calculator'!$B$6))</f>
        <v/>
      </c>
      <c r="AA16" s="56">
        <f>IF(AA$1&lt;=$B16,0,1-_xlfn.POISSON.DIST(AA$1,$B16,FALSE)/(_xlfn.POISSON.DIST(AA$1,$B16,FALSE)+(1-$B16/AA$1)*_xlfn.POISSON.DIST(AA$1-1,$B16,TRUE))*EXP(-(AA$1-$B16)*'Staffing Calculator'!$B$5/'Staffing Calculator'!$B$6))</f>
        <v/>
      </c>
      <c r="AB16" s="56">
        <f>IF(AB$1&lt;=$B16,0,1-_xlfn.POISSON.DIST(AB$1,$B16,FALSE)/(_xlfn.POISSON.DIST(AB$1,$B16,FALSE)+(1-$B16/AB$1)*_xlfn.POISSON.DIST(AB$1-1,$B16,TRUE))*EXP(-(AB$1-$B16)*'Staffing Calculator'!$B$5/'Staffing Calculator'!$B$6))</f>
        <v/>
      </c>
      <c r="AC16" s="56">
        <f>IF(AC$1&lt;=$B16,0,1-_xlfn.POISSON.DIST(AC$1,$B16,FALSE)/(_xlfn.POISSON.DIST(AC$1,$B16,FALSE)+(1-$B16/AC$1)*_xlfn.POISSON.DIST(AC$1-1,$B16,TRUE))*EXP(-(AC$1-$B16)*'Staffing Calculator'!$B$5/'Staffing Calculator'!$B$6))</f>
        <v/>
      </c>
      <c r="AD16" s="56">
        <f>IF(AD$1&lt;=$B16,0,1-_xlfn.POISSON.DIST(AD$1,$B16,FALSE)/(_xlfn.POISSON.DIST(AD$1,$B16,FALSE)+(1-$B16/AD$1)*_xlfn.POISSON.DIST(AD$1-1,$B16,TRUE))*EXP(-(AD$1-$B16)*'Staffing Calculator'!$B$5/'Staffing Calculator'!$B$6))</f>
        <v/>
      </c>
      <c r="AE16" s="56">
        <f>IF(AE$1&lt;=$B16,0,1-_xlfn.POISSON.DIST(AE$1,$B16,FALSE)/(_xlfn.POISSON.DIST(AE$1,$B16,FALSE)+(1-$B16/AE$1)*_xlfn.POISSON.DIST(AE$1-1,$B16,TRUE))*EXP(-(AE$1-$B16)*'Staffing Calculator'!$B$5/'Staffing Calculator'!$B$6))</f>
        <v/>
      </c>
      <c r="AF16" s="56">
        <f>IF(AF$1&lt;=$B16,0,1-_xlfn.POISSON.DIST(AF$1,$B16,FALSE)/(_xlfn.POISSON.DIST(AF$1,$B16,FALSE)+(1-$B16/AF$1)*_xlfn.POISSON.DIST(AF$1-1,$B16,TRUE))*EXP(-(AF$1-$B16)*'Staffing Calculator'!$B$5/'Staffing Calculator'!$B$6))</f>
        <v/>
      </c>
      <c r="AG16" s="56">
        <f>IF(AG$1&lt;=$B16,0,1-_xlfn.POISSON.DIST(AG$1,$B16,FALSE)/(_xlfn.POISSON.DIST(AG$1,$B16,FALSE)+(1-$B16/AG$1)*_xlfn.POISSON.DIST(AG$1-1,$B16,TRUE))*EXP(-(AG$1-$B16)*'Staffing Calculator'!$B$5/'Staffing Calculator'!$B$6))</f>
        <v/>
      </c>
      <c r="AH16" s="56">
        <f>IF(AH$1&lt;=$B16,0,1-_xlfn.POISSON.DIST(AH$1,$B16,FALSE)/(_xlfn.POISSON.DIST(AH$1,$B16,FALSE)+(1-$B16/AH$1)*_xlfn.POISSON.DIST(AH$1-1,$B16,TRUE))*EXP(-(AH$1-$B16)*'Staffing Calculator'!$B$5/'Staffing Calculator'!$B$6))</f>
        <v/>
      </c>
      <c r="AI16" s="56">
        <f>IF(AI$1&lt;=$B16,0,1-_xlfn.POISSON.DIST(AI$1,$B16,FALSE)/(_xlfn.POISSON.DIST(AI$1,$B16,FALSE)+(1-$B16/AI$1)*_xlfn.POISSON.DIST(AI$1-1,$B16,TRUE))*EXP(-(AI$1-$B16)*'Staffing Calculator'!$B$5/'Staffing Calculator'!$B$6))</f>
        <v/>
      </c>
      <c r="AJ16" s="56">
        <f>IF(AJ$1&lt;=$B16,0,1-_xlfn.POISSON.DIST(AJ$1,$B16,FALSE)/(_xlfn.POISSON.DIST(AJ$1,$B16,FALSE)+(1-$B16/AJ$1)*_xlfn.POISSON.DIST(AJ$1-1,$B16,TRUE))*EXP(-(AJ$1-$B16)*'Staffing Calculator'!$B$5/'Staffing Calculator'!$B$6))</f>
        <v/>
      </c>
      <c r="AK16" s="56">
        <f>IF(AK$1&lt;=$B16,0,1-_xlfn.POISSON.DIST(AK$1,$B16,FALSE)/(_xlfn.POISSON.DIST(AK$1,$B16,FALSE)+(1-$B16/AK$1)*_xlfn.POISSON.DIST(AK$1-1,$B16,TRUE))*EXP(-(AK$1-$B16)*'Staffing Calculator'!$B$5/'Staffing Calculator'!$B$6))</f>
        <v/>
      </c>
      <c r="AL16" s="56">
        <f>IF(AL$1&lt;=$B16,0,1-_xlfn.POISSON.DIST(AL$1,$B16,FALSE)/(_xlfn.POISSON.DIST(AL$1,$B16,FALSE)+(1-$B16/AL$1)*_xlfn.POISSON.DIST(AL$1-1,$B16,TRUE))*EXP(-(AL$1-$B16)*'Staffing Calculator'!$B$5/'Staffing Calculator'!$B$6))</f>
        <v/>
      </c>
      <c r="AM16" s="56">
        <f>IF(AM$1&lt;=$B16,0,1-_xlfn.POISSON.DIST(AM$1,$B16,FALSE)/(_xlfn.POISSON.DIST(AM$1,$B16,FALSE)+(1-$B16/AM$1)*_xlfn.POISSON.DIST(AM$1-1,$B16,TRUE))*EXP(-(AM$1-$B16)*'Staffing Calculator'!$B$5/'Staffing Calculator'!$B$6))</f>
        <v/>
      </c>
      <c r="AN16" s="56">
        <f>IF(AN$1&lt;=$B16,0,1-_xlfn.POISSON.DIST(AN$1,$B16,FALSE)/(_xlfn.POISSON.DIST(AN$1,$B16,FALSE)+(1-$B16/AN$1)*_xlfn.POISSON.DIST(AN$1-1,$B16,TRUE))*EXP(-(AN$1-$B16)*'Staffing Calculator'!$B$5/'Staffing Calculator'!$B$6))</f>
        <v/>
      </c>
      <c r="AO16" s="56">
        <f>IF(AO$1&lt;=$B16,0,1-_xlfn.POISSON.DIST(AO$1,$B16,FALSE)/(_xlfn.POISSON.DIST(AO$1,$B16,FALSE)+(1-$B16/AO$1)*_xlfn.POISSON.DIST(AO$1-1,$B16,TRUE))*EXP(-(AO$1-$B16)*'Staffing Calculator'!$B$5/'Staffing Calculator'!$B$6))</f>
        <v/>
      </c>
      <c r="AP16" s="56">
        <f>IF(AP$1&lt;=$B16,0,1-_xlfn.POISSON.DIST(AP$1,$B16,FALSE)/(_xlfn.POISSON.DIST(AP$1,$B16,FALSE)+(1-$B16/AP$1)*_xlfn.POISSON.DIST(AP$1-1,$B16,TRUE))*EXP(-(AP$1-$B16)*'Staffing Calculator'!$B$5/'Staffing Calculator'!$B$6))</f>
        <v/>
      </c>
      <c r="AQ16" s="56">
        <f>IF(AQ$1&lt;=$B16,0,1-_xlfn.POISSON.DIST(AQ$1,$B16,FALSE)/(_xlfn.POISSON.DIST(AQ$1,$B16,FALSE)+(1-$B16/AQ$1)*_xlfn.POISSON.DIST(AQ$1-1,$B16,TRUE))*EXP(-(AQ$1-$B16)*'Staffing Calculator'!$B$5/'Staffing Calculator'!$B$6))</f>
        <v/>
      </c>
      <c r="AR16" s="56">
        <f>IF(AR$1&lt;=$B16,0,1-_xlfn.POISSON.DIST(AR$1,$B16,FALSE)/(_xlfn.POISSON.DIST(AR$1,$B16,FALSE)+(1-$B16/AR$1)*_xlfn.POISSON.DIST(AR$1-1,$B16,TRUE))*EXP(-(AR$1-$B16)*'Staffing Calculator'!$B$5/'Staffing Calculator'!$B$6))</f>
        <v/>
      </c>
      <c r="AS16" s="56">
        <f>IF(AS$1&lt;=$B16,0,1-_xlfn.POISSON.DIST(AS$1,$B16,FALSE)/(_xlfn.POISSON.DIST(AS$1,$B16,FALSE)+(1-$B16/AS$1)*_xlfn.POISSON.DIST(AS$1-1,$B16,TRUE))*EXP(-(AS$1-$B16)*'Staffing Calculator'!$B$5/'Staffing Calculator'!$B$6))</f>
        <v/>
      </c>
      <c r="AT16" s="56">
        <f>IF(AT$1&lt;=$B16,0,1-_xlfn.POISSON.DIST(AT$1,$B16,FALSE)/(_xlfn.POISSON.DIST(AT$1,$B16,FALSE)+(1-$B16/AT$1)*_xlfn.POISSON.DIST(AT$1-1,$B16,TRUE))*EXP(-(AT$1-$B16)*'Staffing Calculator'!$B$5/'Staffing Calculator'!$B$6))</f>
        <v/>
      </c>
      <c r="AU16" s="56">
        <f>IF(AU$1&lt;=$B16,0,1-_xlfn.POISSON.DIST(AU$1,$B16,FALSE)/(_xlfn.POISSON.DIST(AU$1,$B16,FALSE)+(1-$B16/AU$1)*_xlfn.POISSON.DIST(AU$1-1,$B16,TRUE))*EXP(-(AU$1-$B16)*'Staffing Calculator'!$B$5/'Staffing Calculator'!$B$6))</f>
        <v/>
      </c>
      <c r="AV16" s="56">
        <f>IF(AV$1&lt;=$B16,0,1-_xlfn.POISSON.DIST(AV$1,$B16,FALSE)/(_xlfn.POISSON.DIST(AV$1,$B16,FALSE)+(1-$B16/AV$1)*_xlfn.POISSON.DIST(AV$1-1,$B16,TRUE))*EXP(-(AV$1-$B16)*'Staffing Calculator'!$B$5/'Staffing Calculator'!$B$6))</f>
        <v/>
      </c>
      <c r="AW16" s="56">
        <f>IF(AW$1&lt;=$B16,0,1-_xlfn.POISSON.DIST(AW$1,$B16,FALSE)/(_xlfn.POISSON.DIST(AW$1,$B16,FALSE)+(1-$B16/AW$1)*_xlfn.POISSON.DIST(AW$1-1,$B16,TRUE))*EXP(-(AW$1-$B16)*'Staffing Calculator'!$B$5/'Staffing Calculator'!$B$6))</f>
        <v/>
      </c>
      <c r="AX16" s="56">
        <f>IF(AX$1&lt;=$B16,0,1-_xlfn.POISSON.DIST(AX$1,$B16,FALSE)/(_xlfn.POISSON.DIST(AX$1,$B16,FALSE)+(1-$B16/AX$1)*_xlfn.POISSON.DIST(AX$1-1,$B16,TRUE))*EXP(-(AX$1-$B16)*'Staffing Calculator'!$B$5/'Staffing Calculator'!$B$6))</f>
        <v/>
      </c>
      <c r="AY16" s="56">
        <f>IF(AY$1&lt;=$B16,0,1-_xlfn.POISSON.DIST(AY$1,$B16,FALSE)/(_xlfn.POISSON.DIST(AY$1,$B16,FALSE)+(1-$B16/AY$1)*_xlfn.POISSON.DIST(AY$1-1,$B16,TRUE))*EXP(-(AY$1-$B16)*'Staffing Calculator'!$B$5/'Staffing Calculator'!$B$6))</f>
        <v/>
      </c>
      <c r="AZ16" s="56">
        <f>IF(AZ$1&lt;=$B16,0,1-_xlfn.POISSON.DIST(AZ$1,$B16,FALSE)/(_xlfn.POISSON.DIST(AZ$1,$B16,FALSE)+(1-$B16/AZ$1)*_xlfn.POISSON.DIST(AZ$1-1,$B16,TRUE))*EXP(-(AZ$1-$B16)*'Staffing Calculator'!$B$5/'Staffing Calculator'!$B$6))</f>
        <v/>
      </c>
      <c r="BA16" s="56">
        <f>IF(BA$1&lt;=$B16,0,1-_xlfn.POISSON.DIST(BA$1,$B16,FALSE)/(_xlfn.POISSON.DIST(BA$1,$B16,FALSE)+(1-$B16/BA$1)*_xlfn.POISSON.DIST(BA$1-1,$B16,TRUE))*EXP(-(BA$1-$B16)*'Staffing Calculator'!$B$5/'Staffing Calculator'!$B$6))</f>
        <v/>
      </c>
      <c r="BB16" s="56">
        <f>IF(BB$1&lt;=$B16,0,1-_xlfn.POISSON.DIST(BB$1,$B16,FALSE)/(_xlfn.POISSON.DIST(BB$1,$B16,FALSE)+(1-$B16/BB$1)*_xlfn.POISSON.DIST(BB$1-1,$B16,TRUE))*EXP(-(BB$1-$B16)*'Staffing Calculator'!$B$5/'Staffing Calculator'!$B$6))</f>
        <v/>
      </c>
      <c r="BC16" s="56">
        <f>IF(BC$1&lt;=$B16,0,1-_xlfn.POISSON.DIST(BC$1,$B16,FALSE)/(_xlfn.POISSON.DIST(BC$1,$B16,FALSE)+(1-$B16/BC$1)*_xlfn.POISSON.DIST(BC$1-1,$B16,TRUE))*EXP(-(BC$1-$B16)*'Staffing Calculator'!$B$5/'Staffing Calculator'!$B$6))</f>
        <v/>
      </c>
      <c r="BD16" s="56">
        <f>IF(BD$1&lt;=$B16,0,1-_xlfn.POISSON.DIST(BD$1,$B16,FALSE)/(_xlfn.POISSON.DIST(BD$1,$B16,FALSE)+(1-$B16/BD$1)*_xlfn.POISSON.DIST(BD$1-1,$B16,TRUE))*EXP(-(BD$1-$B16)*'Staffing Calculator'!$B$5/'Staffing Calculator'!$B$6))</f>
        <v/>
      </c>
      <c r="BE16" s="56">
        <f>IF(BE$1&lt;=$B16,0,1-_xlfn.POISSON.DIST(BE$1,$B16,FALSE)/(_xlfn.POISSON.DIST(BE$1,$B16,FALSE)+(1-$B16/BE$1)*_xlfn.POISSON.DIST(BE$1-1,$B16,TRUE))*EXP(-(BE$1-$B16)*'Staffing Calculator'!$B$5/'Staffing Calculator'!$B$6))</f>
        <v/>
      </c>
      <c r="BF16" s="56">
        <f>IF(BF$1&lt;=$B16,0,1-_xlfn.POISSON.DIST(BF$1,$B16,FALSE)/(_xlfn.POISSON.DIST(BF$1,$B16,FALSE)+(1-$B16/BF$1)*_xlfn.POISSON.DIST(BF$1-1,$B16,TRUE))*EXP(-(BF$1-$B16)*'Staffing Calculator'!$B$5/'Staffing Calculator'!$B$6))</f>
        <v/>
      </c>
      <c r="BG16" s="56">
        <f>IF(BG$1&lt;=$B16,0,1-_xlfn.POISSON.DIST(BG$1,$B16,FALSE)/(_xlfn.POISSON.DIST(BG$1,$B16,FALSE)+(1-$B16/BG$1)*_xlfn.POISSON.DIST(BG$1-1,$B16,TRUE))*EXP(-(BG$1-$B16)*'Staffing Calculator'!$B$5/'Staffing Calculator'!$B$6))</f>
        <v/>
      </c>
      <c r="BH16" s="56">
        <f>IF(BH$1&lt;=$B16,0,1-_xlfn.POISSON.DIST(BH$1,$B16,FALSE)/(_xlfn.POISSON.DIST(BH$1,$B16,FALSE)+(1-$B16/BH$1)*_xlfn.POISSON.DIST(BH$1-1,$B16,TRUE))*EXP(-(BH$1-$B16)*'Staffing Calculator'!$B$5/'Staffing Calculator'!$B$6))</f>
        <v/>
      </c>
      <c r="BI16" s="56">
        <f>IF(BI$1&lt;=$B16,0,1-_xlfn.POISSON.DIST(BI$1,$B16,FALSE)/(_xlfn.POISSON.DIST(BI$1,$B16,FALSE)+(1-$B16/BI$1)*_xlfn.POISSON.DIST(BI$1-1,$B16,TRUE))*EXP(-(BI$1-$B16)*'Staffing Calculator'!$B$5/'Staffing Calculator'!$B$6))</f>
        <v/>
      </c>
      <c r="BJ16" s="56">
        <f>IF(BJ$1&lt;=$B16,0,1-_xlfn.POISSON.DIST(BJ$1,$B16,FALSE)/(_xlfn.POISSON.DIST(BJ$1,$B16,FALSE)+(1-$B16/BJ$1)*_xlfn.POISSON.DIST(BJ$1-1,$B16,TRUE))*EXP(-(BJ$1-$B16)*'Staffing Calculator'!$B$5/'Staffing Calculator'!$B$6))</f>
        <v/>
      </c>
    </row>
    <row r="17">
      <c r="A17" s="54">
        <f>'Staffing Calculator'!A17</f>
        <v/>
      </c>
      <c r="B17" s="55">
        <f>'Staffing Calculator'!C17</f>
        <v/>
      </c>
      <c r="C17" s="56">
        <f>IF(C$1&lt;=$B17,0,1-_xlfn.POISSON.DIST(C$1,$B17,FALSE)/(_xlfn.POISSON.DIST(C$1,$B17,FALSE)+(1-$B17/C$1)*_xlfn.POISSON.DIST(C$1-1,$B17,TRUE))*EXP(-(C$1-$B17)*'Staffing Calculator'!$B$5/'Staffing Calculator'!$B$6))</f>
        <v/>
      </c>
      <c r="D17" s="56">
        <f>IF(D$1&lt;=$B17,0,1-_xlfn.POISSON.DIST(D$1,$B17,FALSE)/(_xlfn.POISSON.DIST(D$1,$B17,FALSE)+(1-$B17/D$1)*_xlfn.POISSON.DIST(D$1-1,$B17,TRUE))*EXP(-(D$1-$B17)*'Staffing Calculator'!$B$5/'Staffing Calculator'!$B$6))</f>
        <v/>
      </c>
      <c r="E17" s="56">
        <f>IF(E$1&lt;=$B17,0,1-_xlfn.POISSON.DIST(E$1,$B17,FALSE)/(_xlfn.POISSON.DIST(E$1,$B17,FALSE)+(1-$B17/E$1)*_xlfn.POISSON.DIST(E$1-1,$B17,TRUE))*EXP(-(E$1-$B17)*'Staffing Calculator'!$B$5/'Staffing Calculator'!$B$6))</f>
        <v/>
      </c>
      <c r="F17" s="56">
        <f>IF(F$1&lt;=$B17,0,1-_xlfn.POISSON.DIST(F$1,$B17,FALSE)/(_xlfn.POISSON.DIST(F$1,$B17,FALSE)+(1-$B17/F$1)*_xlfn.POISSON.DIST(F$1-1,$B17,TRUE))*EXP(-(F$1-$B17)*'Staffing Calculator'!$B$5/'Staffing Calculator'!$B$6))</f>
        <v/>
      </c>
      <c r="G17" s="56">
        <f>IF(G$1&lt;=$B17,0,1-_xlfn.POISSON.DIST(G$1,$B17,FALSE)/(_xlfn.POISSON.DIST(G$1,$B17,FALSE)+(1-$B17/G$1)*_xlfn.POISSON.DIST(G$1-1,$B17,TRUE))*EXP(-(G$1-$B17)*'Staffing Calculator'!$B$5/'Staffing Calculator'!$B$6))</f>
        <v/>
      </c>
      <c r="H17" s="56">
        <f>IF(H$1&lt;=$B17,0,1-_xlfn.POISSON.DIST(H$1,$B17,FALSE)/(_xlfn.POISSON.DIST(H$1,$B17,FALSE)+(1-$B17/H$1)*_xlfn.POISSON.DIST(H$1-1,$B17,TRUE))*EXP(-(H$1-$B17)*'Staffing Calculator'!$B$5/'Staffing Calculator'!$B$6))</f>
        <v/>
      </c>
      <c r="I17" s="56">
        <f>IF(I$1&lt;=$B17,0,1-_xlfn.POISSON.DIST(I$1,$B17,FALSE)/(_xlfn.POISSON.DIST(I$1,$B17,FALSE)+(1-$B17/I$1)*_xlfn.POISSON.DIST(I$1-1,$B17,TRUE))*EXP(-(I$1-$B17)*'Staffing Calculator'!$B$5/'Staffing Calculator'!$B$6))</f>
        <v/>
      </c>
      <c r="J17" s="56">
        <f>IF(J$1&lt;=$B17,0,1-_xlfn.POISSON.DIST(J$1,$B17,FALSE)/(_xlfn.POISSON.DIST(J$1,$B17,FALSE)+(1-$B17/J$1)*_xlfn.POISSON.DIST(J$1-1,$B17,TRUE))*EXP(-(J$1-$B17)*'Staffing Calculator'!$B$5/'Staffing Calculator'!$B$6))</f>
        <v/>
      </c>
      <c r="K17" s="56">
        <f>IF(K$1&lt;=$B17,0,1-_xlfn.POISSON.DIST(K$1,$B17,FALSE)/(_xlfn.POISSON.DIST(K$1,$B17,FALSE)+(1-$B17/K$1)*_xlfn.POISSON.DIST(K$1-1,$B17,TRUE))*EXP(-(K$1-$B17)*'Staffing Calculator'!$B$5/'Staffing Calculator'!$B$6))</f>
        <v/>
      </c>
      <c r="L17" s="56">
        <f>IF(L$1&lt;=$B17,0,1-_xlfn.POISSON.DIST(L$1,$B17,FALSE)/(_xlfn.POISSON.DIST(L$1,$B17,FALSE)+(1-$B17/L$1)*_xlfn.POISSON.DIST(L$1-1,$B17,TRUE))*EXP(-(L$1-$B17)*'Staffing Calculator'!$B$5/'Staffing Calculator'!$B$6))</f>
        <v/>
      </c>
      <c r="M17" s="56">
        <f>IF(M$1&lt;=$B17,0,1-_xlfn.POISSON.DIST(M$1,$B17,FALSE)/(_xlfn.POISSON.DIST(M$1,$B17,FALSE)+(1-$B17/M$1)*_xlfn.POISSON.DIST(M$1-1,$B17,TRUE))*EXP(-(M$1-$B17)*'Staffing Calculator'!$B$5/'Staffing Calculator'!$B$6))</f>
        <v/>
      </c>
      <c r="N17" s="56">
        <f>IF(N$1&lt;=$B17,0,1-_xlfn.POISSON.DIST(N$1,$B17,FALSE)/(_xlfn.POISSON.DIST(N$1,$B17,FALSE)+(1-$B17/N$1)*_xlfn.POISSON.DIST(N$1-1,$B17,TRUE))*EXP(-(N$1-$B17)*'Staffing Calculator'!$B$5/'Staffing Calculator'!$B$6))</f>
        <v/>
      </c>
      <c r="O17" s="56">
        <f>IF(O$1&lt;=$B17,0,1-_xlfn.POISSON.DIST(O$1,$B17,FALSE)/(_xlfn.POISSON.DIST(O$1,$B17,FALSE)+(1-$B17/O$1)*_xlfn.POISSON.DIST(O$1-1,$B17,TRUE))*EXP(-(O$1-$B17)*'Staffing Calculator'!$B$5/'Staffing Calculator'!$B$6))</f>
        <v/>
      </c>
      <c r="P17" s="56">
        <f>IF(P$1&lt;=$B17,0,1-_xlfn.POISSON.DIST(P$1,$B17,FALSE)/(_xlfn.POISSON.DIST(P$1,$B17,FALSE)+(1-$B17/P$1)*_xlfn.POISSON.DIST(P$1-1,$B17,TRUE))*EXP(-(P$1-$B17)*'Staffing Calculator'!$B$5/'Staffing Calculator'!$B$6))</f>
        <v/>
      </c>
      <c r="Q17" s="56">
        <f>IF(Q$1&lt;=$B17,0,1-_xlfn.POISSON.DIST(Q$1,$B17,FALSE)/(_xlfn.POISSON.DIST(Q$1,$B17,FALSE)+(1-$B17/Q$1)*_xlfn.POISSON.DIST(Q$1-1,$B17,TRUE))*EXP(-(Q$1-$B17)*'Staffing Calculator'!$B$5/'Staffing Calculator'!$B$6))</f>
        <v/>
      </c>
      <c r="R17" s="56">
        <f>IF(R$1&lt;=$B17,0,1-_xlfn.POISSON.DIST(R$1,$B17,FALSE)/(_xlfn.POISSON.DIST(R$1,$B17,FALSE)+(1-$B17/R$1)*_xlfn.POISSON.DIST(R$1-1,$B17,TRUE))*EXP(-(R$1-$B17)*'Staffing Calculator'!$B$5/'Staffing Calculator'!$B$6))</f>
        <v/>
      </c>
      <c r="S17" s="56">
        <f>IF(S$1&lt;=$B17,0,1-_xlfn.POISSON.DIST(S$1,$B17,FALSE)/(_xlfn.POISSON.DIST(S$1,$B17,FALSE)+(1-$B17/S$1)*_xlfn.POISSON.DIST(S$1-1,$B17,TRUE))*EXP(-(S$1-$B17)*'Staffing Calculator'!$B$5/'Staffing Calculator'!$B$6))</f>
        <v/>
      </c>
      <c r="T17" s="56">
        <f>IF(T$1&lt;=$B17,0,1-_xlfn.POISSON.DIST(T$1,$B17,FALSE)/(_xlfn.POISSON.DIST(T$1,$B17,FALSE)+(1-$B17/T$1)*_xlfn.POISSON.DIST(T$1-1,$B17,TRUE))*EXP(-(T$1-$B17)*'Staffing Calculator'!$B$5/'Staffing Calculator'!$B$6))</f>
        <v/>
      </c>
      <c r="U17" s="56">
        <f>IF(U$1&lt;=$B17,0,1-_xlfn.POISSON.DIST(U$1,$B17,FALSE)/(_xlfn.POISSON.DIST(U$1,$B17,FALSE)+(1-$B17/U$1)*_xlfn.POISSON.DIST(U$1-1,$B17,TRUE))*EXP(-(U$1-$B17)*'Staffing Calculator'!$B$5/'Staffing Calculator'!$B$6))</f>
        <v/>
      </c>
      <c r="V17" s="56">
        <f>IF(V$1&lt;=$B17,0,1-_xlfn.POISSON.DIST(V$1,$B17,FALSE)/(_xlfn.POISSON.DIST(V$1,$B17,FALSE)+(1-$B17/V$1)*_xlfn.POISSON.DIST(V$1-1,$B17,TRUE))*EXP(-(V$1-$B17)*'Staffing Calculator'!$B$5/'Staffing Calculator'!$B$6))</f>
        <v/>
      </c>
      <c r="W17" s="56">
        <f>IF(W$1&lt;=$B17,0,1-_xlfn.POISSON.DIST(W$1,$B17,FALSE)/(_xlfn.POISSON.DIST(W$1,$B17,FALSE)+(1-$B17/W$1)*_xlfn.POISSON.DIST(W$1-1,$B17,TRUE))*EXP(-(W$1-$B17)*'Staffing Calculator'!$B$5/'Staffing Calculator'!$B$6))</f>
        <v/>
      </c>
      <c r="X17" s="56">
        <f>IF(X$1&lt;=$B17,0,1-_xlfn.POISSON.DIST(X$1,$B17,FALSE)/(_xlfn.POISSON.DIST(X$1,$B17,FALSE)+(1-$B17/X$1)*_xlfn.POISSON.DIST(X$1-1,$B17,TRUE))*EXP(-(X$1-$B17)*'Staffing Calculator'!$B$5/'Staffing Calculator'!$B$6))</f>
        <v/>
      </c>
      <c r="Y17" s="56">
        <f>IF(Y$1&lt;=$B17,0,1-_xlfn.POISSON.DIST(Y$1,$B17,FALSE)/(_xlfn.POISSON.DIST(Y$1,$B17,FALSE)+(1-$B17/Y$1)*_xlfn.POISSON.DIST(Y$1-1,$B17,TRUE))*EXP(-(Y$1-$B17)*'Staffing Calculator'!$B$5/'Staffing Calculator'!$B$6))</f>
        <v/>
      </c>
      <c r="Z17" s="56">
        <f>IF(Z$1&lt;=$B17,0,1-_xlfn.POISSON.DIST(Z$1,$B17,FALSE)/(_xlfn.POISSON.DIST(Z$1,$B17,FALSE)+(1-$B17/Z$1)*_xlfn.POISSON.DIST(Z$1-1,$B17,TRUE))*EXP(-(Z$1-$B17)*'Staffing Calculator'!$B$5/'Staffing Calculator'!$B$6))</f>
        <v/>
      </c>
      <c r="AA17" s="56">
        <f>IF(AA$1&lt;=$B17,0,1-_xlfn.POISSON.DIST(AA$1,$B17,FALSE)/(_xlfn.POISSON.DIST(AA$1,$B17,FALSE)+(1-$B17/AA$1)*_xlfn.POISSON.DIST(AA$1-1,$B17,TRUE))*EXP(-(AA$1-$B17)*'Staffing Calculator'!$B$5/'Staffing Calculator'!$B$6))</f>
        <v/>
      </c>
      <c r="AB17" s="56">
        <f>IF(AB$1&lt;=$B17,0,1-_xlfn.POISSON.DIST(AB$1,$B17,FALSE)/(_xlfn.POISSON.DIST(AB$1,$B17,FALSE)+(1-$B17/AB$1)*_xlfn.POISSON.DIST(AB$1-1,$B17,TRUE))*EXP(-(AB$1-$B17)*'Staffing Calculator'!$B$5/'Staffing Calculator'!$B$6))</f>
        <v/>
      </c>
      <c r="AC17" s="56">
        <f>IF(AC$1&lt;=$B17,0,1-_xlfn.POISSON.DIST(AC$1,$B17,FALSE)/(_xlfn.POISSON.DIST(AC$1,$B17,FALSE)+(1-$B17/AC$1)*_xlfn.POISSON.DIST(AC$1-1,$B17,TRUE))*EXP(-(AC$1-$B17)*'Staffing Calculator'!$B$5/'Staffing Calculator'!$B$6))</f>
        <v/>
      </c>
      <c r="AD17" s="56">
        <f>IF(AD$1&lt;=$B17,0,1-_xlfn.POISSON.DIST(AD$1,$B17,FALSE)/(_xlfn.POISSON.DIST(AD$1,$B17,FALSE)+(1-$B17/AD$1)*_xlfn.POISSON.DIST(AD$1-1,$B17,TRUE))*EXP(-(AD$1-$B17)*'Staffing Calculator'!$B$5/'Staffing Calculator'!$B$6))</f>
        <v/>
      </c>
      <c r="AE17" s="56">
        <f>IF(AE$1&lt;=$B17,0,1-_xlfn.POISSON.DIST(AE$1,$B17,FALSE)/(_xlfn.POISSON.DIST(AE$1,$B17,FALSE)+(1-$B17/AE$1)*_xlfn.POISSON.DIST(AE$1-1,$B17,TRUE))*EXP(-(AE$1-$B17)*'Staffing Calculator'!$B$5/'Staffing Calculator'!$B$6))</f>
        <v/>
      </c>
      <c r="AF17" s="56">
        <f>IF(AF$1&lt;=$B17,0,1-_xlfn.POISSON.DIST(AF$1,$B17,FALSE)/(_xlfn.POISSON.DIST(AF$1,$B17,FALSE)+(1-$B17/AF$1)*_xlfn.POISSON.DIST(AF$1-1,$B17,TRUE))*EXP(-(AF$1-$B17)*'Staffing Calculator'!$B$5/'Staffing Calculator'!$B$6))</f>
        <v/>
      </c>
      <c r="AG17" s="56">
        <f>IF(AG$1&lt;=$B17,0,1-_xlfn.POISSON.DIST(AG$1,$B17,FALSE)/(_xlfn.POISSON.DIST(AG$1,$B17,FALSE)+(1-$B17/AG$1)*_xlfn.POISSON.DIST(AG$1-1,$B17,TRUE))*EXP(-(AG$1-$B17)*'Staffing Calculator'!$B$5/'Staffing Calculator'!$B$6))</f>
        <v/>
      </c>
      <c r="AH17" s="56">
        <f>IF(AH$1&lt;=$B17,0,1-_xlfn.POISSON.DIST(AH$1,$B17,FALSE)/(_xlfn.POISSON.DIST(AH$1,$B17,FALSE)+(1-$B17/AH$1)*_xlfn.POISSON.DIST(AH$1-1,$B17,TRUE))*EXP(-(AH$1-$B17)*'Staffing Calculator'!$B$5/'Staffing Calculator'!$B$6))</f>
        <v/>
      </c>
      <c r="AI17" s="56">
        <f>IF(AI$1&lt;=$B17,0,1-_xlfn.POISSON.DIST(AI$1,$B17,FALSE)/(_xlfn.POISSON.DIST(AI$1,$B17,FALSE)+(1-$B17/AI$1)*_xlfn.POISSON.DIST(AI$1-1,$B17,TRUE))*EXP(-(AI$1-$B17)*'Staffing Calculator'!$B$5/'Staffing Calculator'!$B$6))</f>
        <v/>
      </c>
      <c r="AJ17" s="56">
        <f>IF(AJ$1&lt;=$B17,0,1-_xlfn.POISSON.DIST(AJ$1,$B17,FALSE)/(_xlfn.POISSON.DIST(AJ$1,$B17,FALSE)+(1-$B17/AJ$1)*_xlfn.POISSON.DIST(AJ$1-1,$B17,TRUE))*EXP(-(AJ$1-$B17)*'Staffing Calculator'!$B$5/'Staffing Calculator'!$B$6))</f>
        <v/>
      </c>
      <c r="AK17" s="56">
        <f>IF(AK$1&lt;=$B17,0,1-_xlfn.POISSON.DIST(AK$1,$B17,FALSE)/(_xlfn.POISSON.DIST(AK$1,$B17,FALSE)+(1-$B17/AK$1)*_xlfn.POISSON.DIST(AK$1-1,$B17,TRUE))*EXP(-(AK$1-$B17)*'Staffing Calculator'!$B$5/'Staffing Calculator'!$B$6))</f>
        <v/>
      </c>
      <c r="AL17" s="56">
        <f>IF(AL$1&lt;=$B17,0,1-_xlfn.POISSON.DIST(AL$1,$B17,FALSE)/(_xlfn.POISSON.DIST(AL$1,$B17,FALSE)+(1-$B17/AL$1)*_xlfn.POISSON.DIST(AL$1-1,$B17,TRUE))*EXP(-(AL$1-$B17)*'Staffing Calculator'!$B$5/'Staffing Calculator'!$B$6))</f>
        <v/>
      </c>
      <c r="AM17" s="56">
        <f>IF(AM$1&lt;=$B17,0,1-_xlfn.POISSON.DIST(AM$1,$B17,FALSE)/(_xlfn.POISSON.DIST(AM$1,$B17,FALSE)+(1-$B17/AM$1)*_xlfn.POISSON.DIST(AM$1-1,$B17,TRUE))*EXP(-(AM$1-$B17)*'Staffing Calculator'!$B$5/'Staffing Calculator'!$B$6))</f>
        <v/>
      </c>
      <c r="AN17" s="56">
        <f>IF(AN$1&lt;=$B17,0,1-_xlfn.POISSON.DIST(AN$1,$B17,FALSE)/(_xlfn.POISSON.DIST(AN$1,$B17,FALSE)+(1-$B17/AN$1)*_xlfn.POISSON.DIST(AN$1-1,$B17,TRUE))*EXP(-(AN$1-$B17)*'Staffing Calculator'!$B$5/'Staffing Calculator'!$B$6))</f>
        <v/>
      </c>
      <c r="AO17" s="56">
        <f>IF(AO$1&lt;=$B17,0,1-_xlfn.POISSON.DIST(AO$1,$B17,FALSE)/(_xlfn.POISSON.DIST(AO$1,$B17,FALSE)+(1-$B17/AO$1)*_xlfn.POISSON.DIST(AO$1-1,$B17,TRUE))*EXP(-(AO$1-$B17)*'Staffing Calculator'!$B$5/'Staffing Calculator'!$B$6))</f>
        <v/>
      </c>
      <c r="AP17" s="56">
        <f>IF(AP$1&lt;=$B17,0,1-_xlfn.POISSON.DIST(AP$1,$B17,FALSE)/(_xlfn.POISSON.DIST(AP$1,$B17,FALSE)+(1-$B17/AP$1)*_xlfn.POISSON.DIST(AP$1-1,$B17,TRUE))*EXP(-(AP$1-$B17)*'Staffing Calculator'!$B$5/'Staffing Calculator'!$B$6))</f>
        <v/>
      </c>
      <c r="AQ17" s="56">
        <f>IF(AQ$1&lt;=$B17,0,1-_xlfn.POISSON.DIST(AQ$1,$B17,FALSE)/(_xlfn.POISSON.DIST(AQ$1,$B17,FALSE)+(1-$B17/AQ$1)*_xlfn.POISSON.DIST(AQ$1-1,$B17,TRUE))*EXP(-(AQ$1-$B17)*'Staffing Calculator'!$B$5/'Staffing Calculator'!$B$6))</f>
        <v/>
      </c>
      <c r="AR17" s="56">
        <f>IF(AR$1&lt;=$B17,0,1-_xlfn.POISSON.DIST(AR$1,$B17,FALSE)/(_xlfn.POISSON.DIST(AR$1,$B17,FALSE)+(1-$B17/AR$1)*_xlfn.POISSON.DIST(AR$1-1,$B17,TRUE))*EXP(-(AR$1-$B17)*'Staffing Calculator'!$B$5/'Staffing Calculator'!$B$6))</f>
        <v/>
      </c>
      <c r="AS17" s="56">
        <f>IF(AS$1&lt;=$B17,0,1-_xlfn.POISSON.DIST(AS$1,$B17,FALSE)/(_xlfn.POISSON.DIST(AS$1,$B17,FALSE)+(1-$B17/AS$1)*_xlfn.POISSON.DIST(AS$1-1,$B17,TRUE))*EXP(-(AS$1-$B17)*'Staffing Calculator'!$B$5/'Staffing Calculator'!$B$6))</f>
        <v/>
      </c>
      <c r="AT17" s="56">
        <f>IF(AT$1&lt;=$B17,0,1-_xlfn.POISSON.DIST(AT$1,$B17,FALSE)/(_xlfn.POISSON.DIST(AT$1,$B17,FALSE)+(1-$B17/AT$1)*_xlfn.POISSON.DIST(AT$1-1,$B17,TRUE))*EXP(-(AT$1-$B17)*'Staffing Calculator'!$B$5/'Staffing Calculator'!$B$6))</f>
        <v/>
      </c>
      <c r="AU17" s="56">
        <f>IF(AU$1&lt;=$B17,0,1-_xlfn.POISSON.DIST(AU$1,$B17,FALSE)/(_xlfn.POISSON.DIST(AU$1,$B17,FALSE)+(1-$B17/AU$1)*_xlfn.POISSON.DIST(AU$1-1,$B17,TRUE))*EXP(-(AU$1-$B17)*'Staffing Calculator'!$B$5/'Staffing Calculator'!$B$6))</f>
        <v/>
      </c>
      <c r="AV17" s="56">
        <f>IF(AV$1&lt;=$B17,0,1-_xlfn.POISSON.DIST(AV$1,$B17,FALSE)/(_xlfn.POISSON.DIST(AV$1,$B17,FALSE)+(1-$B17/AV$1)*_xlfn.POISSON.DIST(AV$1-1,$B17,TRUE))*EXP(-(AV$1-$B17)*'Staffing Calculator'!$B$5/'Staffing Calculator'!$B$6))</f>
        <v/>
      </c>
      <c r="AW17" s="56">
        <f>IF(AW$1&lt;=$B17,0,1-_xlfn.POISSON.DIST(AW$1,$B17,FALSE)/(_xlfn.POISSON.DIST(AW$1,$B17,FALSE)+(1-$B17/AW$1)*_xlfn.POISSON.DIST(AW$1-1,$B17,TRUE))*EXP(-(AW$1-$B17)*'Staffing Calculator'!$B$5/'Staffing Calculator'!$B$6))</f>
        <v/>
      </c>
      <c r="AX17" s="56">
        <f>IF(AX$1&lt;=$B17,0,1-_xlfn.POISSON.DIST(AX$1,$B17,FALSE)/(_xlfn.POISSON.DIST(AX$1,$B17,FALSE)+(1-$B17/AX$1)*_xlfn.POISSON.DIST(AX$1-1,$B17,TRUE))*EXP(-(AX$1-$B17)*'Staffing Calculator'!$B$5/'Staffing Calculator'!$B$6))</f>
        <v/>
      </c>
      <c r="AY17" s="56">
        <f>IF(AY$1&lt;=$B17,0,1-_xlfn.POISSON.DIST(AY$1,$B17,FALSE)/(_xlfn.POISSON.DIST(AY$1,$B17,FALSE)+(1-$B17/AY$1)*_xlfn.POISSON.DIST(AY$1-1,$B17,TRUE))*EXP(-(AY$1-$B17)*'Staffing Calculator'!$B$5/'Staffing Calculator'!$B$6))</f>
        <v/>
      </c>
      <c r="AZ17" s="56">
        <f>IF(AZ$1&lt;=$B17,0,1-_xlfn.POISSON.DIST(AZ$1,$B17,FALSE)/(_xlfn.POISSON.DIST(AZ$1,$B17,FALSE)+(1-$B17/AZ$1)*_xlfn.POISSON.DIST(AZ$1-1,$B17,TRUE))*EXP(-(AZ$1-$B17)*'Staffing Calculator'!$B$5/'Staffing Calculator'!$B$6))</f>
        <v/>
      </c>
      <c r="BA17" s="56">
        <f>IF(BA$1&lt;=$B17,0,1-_xlfn.POISSON.DIST(BA$1,$B17,FALSE)/(_xlfn.POISSON.DIST(BA$1,$B17,FALSE)+(1-$B17/BA$1)*_xlfn.POISSON.DIST(BA$1-1,$B17,TRUE))*EXP(-(BA$1-$B17)*'Staffing Calculator'!$B$5/'Staffing Calculator'!$B$6))</f>
        <v/>
      </c>
      <c r="BB17" s="56">
        <f>IF(BB$1&lt;=$B17,0,1-_xlfn.POISSON.DIST(BB$1,$B17,FALSE)/(_xlfn.POISSON.DIST(BB$1,$B17,FALSE)+(1-$B17/BB$1)*_xlfn.POISSON.DIST(BB$1-1,$B17,TRUE))*EXP(-(BB$1-$B17)*'Staffing Calculator'!$B$5/'Staffing Calculator'!$B$6))</f>
        <v/>
      </c>
      <c r="BC17" s="56">
        <f>IF(BC$1&lt;=$B17,0,1-_xlfn.POISSON.DIST(BC$1,$B17,FALSE)/(_xlfn.POISSON.DIST(BC$1,$B17,FALSE)+(1-$B17/BC$1)*_xlfn.POISSON.DIST(BC$1-1,$B17,TRUE))*EXP(-(BC$1-$B17)*'Staffing Calculator'!$B$5/'Staffing Calculator'!$B$6))</f>
        <v/>
      </c>
      <c r="BD17" s="56">
        <f>IF(BD$1&lt;=$B17,0,1-_xlfn.POISSON.DIST(BD$1,$B17,FALSE)/(_xlfn.POISSON.DIST(BD$1,$B17,FALSE)+(1-$B17/BD$1)*_xlfn.POISSON.DIST(BD$1-1,$B17,TRUE))*EXP(-(BD$1-$B17)*'Staffing Calculator'!$B$5/'Staffing Calculator'!$B$6))</f>
        <v/>
      </c>
      <c r="BE17" s="56">
        <f>IF(BE$1&lt;=$B17,0,1-_xlfn.POISSON.DIST(BE$1,$B17,FALSE)/(_xlfn.POISSON.DIST(BE$1,$B17,FALSE)+(1-$B17/BE$1)*_xlfn.POISSON.DIST(BE$1-1,$B17,TRUE))*EXP(-(BE$1-$B17)*'Staffing Calculator'!$B$5/'Staffing Calculator'!$B$6))</f>
        <v/>
      </c>
      <c r="BF17" s="56">
        <f>IF(BF$1&lt;=$B17,0,1-_xlfn.POISSON.DIST(BF$1,$B17,FALSE)/(_xlfn.POISSON.DIST(BF$1,$B17,FALSE)+(1-$B17/BF$1)*_xlfn.POISSON.DIST(BF$1-1,$B17,TRUE))*EXP(-(BF$1-$B17)*'Staffing Calculator'!$B$5/'Staffing Calculator'!$B$6))</f>
        <v/>
      </c>
      <c r="BG17" s="56">
        <f>IF(BG$1&lt;=$B17,0,1-_xlfn.POISSON.DIST(BG$1,$B17,FALSE)/(_xlfn.POISSON.DIST(BG$1,$B17,FALSE)+(1-$B17/BG$1)*_xlfn.POISSON.DIST(BG$1-1,$B17,TRUE))*EXP(-(BG$1-$B17)*'Staffing Calculator'!$B$5/'Staffing Calculator'!$B$6))</f>
        <v/>
      </c>
      <c r="BH17" s="56">
        <f>IF(BH$1&lt;=$B17,0,1-_xlfn.POISSON.DIST(BH$1,$B17,FALSE)/(_xlfn.POISSON.DIST(BH$1,$B17,FALSE)+(1-$B17/BH$1)*_xlfn.POISSON.DIST(BH$1-1,$B17,TRUE))*EXP(-(BH$1-$B17)*'Staffing Calculator'!$B$5/'Staffing Calculator'!$B$6))</f>
        <v/>
      </c>
      <c r="BI17" s="56">
        <f>IF(BI$1&lt;=$B17,0,1-_xlfn.POISSON.DIST(BI$1,$B17,FALSE)/(_xlfn.POISSON.DIST(BI$1,$B17,FALSE)+(1-$B17/BI$1)*_xlfn.POISSON.DIST(BI$1-1,$B17,TRUE))*EXP(-(BI$1-$B17)*'Staffing Calculator'!$B$5/'Staffing Calculator'!$B$6))</f>
        <v/>
      </c>
      <c r="BJ17" s="56">
        <f>IF(BJ$1&lt;=$B17,0,1-_xlfn.POISSON.DIST(BJ$1,$B17,FALSE)/(_xlfn.POISSON.DIST(BJ$1,$B17,FALSE)+(1-$B17/BJ$1)*_xlfn.POISSON.DIST(BJ$1-1,$B17,TRUE))*EXP(-(BJ$1-$B17)*'Staffing Calculator'!$B$5/'Staffing Calculator'!$B$6))</f>
        <v/>
      </c>
    </row>
    <row r="18">
      <c r="A18" s="54">
        <f>'Staffing Calculator'!A18</f>
        <v/>
      </c>
      <c r="B18" s="55">
        <f>'Staffing Calculator'!C18</f>
        <v/>
      </c>
      <c r="C18" s="56">
        <f>IF(C$1&lt;=$B18,0,1-_xlfn.POISSON.DIST(C$1,$B18,FALSE)/(_xlfn.POISSON.DIST(C$1,$B18,FALSE)+(1-$B18/C$1)*_xlfn.POISSON.DIST(C$1-1,$B18,TRUE))*EXP(-(C$1-$B18)*'Staffing Calculator'!$B$5/'Staffing Calculator'!$B$6))</f>
        <v/>
      </c>
      <c r="D18" s="56">
        <f>IF(D$1&lt;=$B18,0,1-_xlfn.POISSON.DIST(D$1,$B18,FALSE)/(_xlfn.POISSON.DIST(D$1,$B18,FALSE)+(1-$B18/D$1)*_xlfn.POISSON.DIST(D$1-1,$B18,TRUE))*EXP(-(D$1-$B18)*'Staffing Calculator'!$B$5/'Staffing Calculator'!$B$6))</f>
        <v/>
      </c>
      <c r="E18" s="56">
        <f>IF(E$1&lt;=$B18,0,1-_xlfn.POISSON.DIST(E$1,$B18,FALSE)/(_xlfn.POISSON.DIST(E$1,$B18,FALSE)+(1-$B18/E$1)*_xlfn.POISSON.DIST(E$1-1,$B18,TRUE))*EXP(-(E$1-$B18)*'Staffing Calculator'!$B$5/'Staffing Calculator'!$B$6))</f>
        <v/>
      </c>
      <c r="F18" s="56">
        <f>IF(F$1&lt;=$B18,0,1-_xlfn.POISSON.DIST(F$1,$B18,FALSE)/(_xlfn.POISSON.DIST(F$1,$B18,FALSE)+(1-$B18/F$1)*_xlfn.POISSON.DIST(F$1-1,$B18,TRUE))*EXP(-(F$1-$B18)*'Staffing Calculator'!$B$5/'Staffing Calculator'!$B$6))</f>
        <v/>
      </c>
      <c r="G18" s="56">
        <f>IF(G$1&lt;=$B18,0,1-_xlfn.POISSON.DIST(G$1,$B18,FALSE)/(_xlfn.POISSON.DIST(G$1,$B18,FALSE)+(1-$B18/G$1)*_xlfn.POISSON.DIST(G$1-1,$B18,TRUE))*EXP(-(G$1-$B18)*'Staffing Calculator'!$B$5/'Staffing Calculator'!$B$6))</f>
        <v/>
      </c>
      <c r="H18" s="56">
        <f>IF(H$1&lt;=$B18,0,1-_xlfn.POISSON.DIST(H$1,$B18,FALSE)/(_xlfn.POISSON.DIST(H$1,$B18,FALSE)+(1-$B18/H$1)*_xlfn.POISSON.DIST(H$1-1,$B18,TRUE))*EXP(-(H$1-$B18)*'Staffing Calculator'!$B$5/'Staffing Calculator'!$B$6))</f>
        <v/>
      </c>
      <c r="I18" s="56">
        <f>IF(I$1&lt;=$B18,0,1-_xlfn.POISSON.DIST(I$1,$B18,FALSE)/(_xlfn.POISSON.DIST(I$1,$B18,FALSE)+(1-$B18/I$1)*_xlfn.POISSON.DIST(I$1-1,$B18,TRUE))*EXP(-(I$1-$B18)*'Staffing Calculator'!$B$5/'Staffing Calculator'!$B$6))</f>
        <v/>
      </c>
      <c r="J18" s="56">
        <f>IF(J$1&lt;=$B18,0,1-_xlfn.POISSON.DIST(J$1,$B18,FALSE)/(_xlfn.POISSON.DIST(J$1,$B18,FALSE)+(1-$B18/J$1)*_xlfn.POISSON.DIST(J$1-1,$B18,TRUE))*EXP(-(J$1-$B18)*'Staffing Calculator'!$B$5/'Staffing Calculator'!$B$6))</f>
        <v/>
      </c>
      <c r="K18" s="56">
        <f>IF(K$1&lt;=$B18,0,1-_xlfn.POISSON.DIST(K$1,$B18,FALSE)/(_xlfn.POISSON.DIST(K$1,$B18,FALSE)+(1-$B18/K$1)*_xlfn.POISSON.DIST(K$1-1,$B18,TRUE))*EXP(-(K$1-$B18)*'Staffing Calculator'!$B$5/'Staffing Calculator'!$B$6))</f>
        <v/>
      </c>
      <c r="L18" s="56">
        <f>IF(L$1&lt;=$B18,0,1-_xlfn.POISSON.DIST(L$1,$B18,FALSE)/(_xlfn.POISSON.DIST(L$1,$B18,FALSE)+(1-$B18/L$1)*_xlfn.POISSON.DIST(L$1-1,$B18,TRUE))*EXP(-(L$1-$B18)*'Staffing Calculator'!$B$5/'Staffing Calculator'!$B$6))</f>
        <v/>
      </c>
      <c r="M18" s="56">
        <f>IF(M$1&lt;=$B18,0,1-_xlfn.POISSON.DIST(M$1,$B18,FALSE)/(_xlfn.POISSON.DIST(M$1,$B18,FALSE)+(1-$B18/M$1)*_xlfn.POISSON.DIST(M$1-1,$B18,TRUE))*EXP(-(M$1-$B18)*'Staffing Calculator'!$B$5/'Staffing Calculator'!$B$6))</f>
        <v/>
      </c>
      <c r="N18" s="56">
        <f>IF(N$1&lt;=$B18,0,1-_xlfn.POISSON.DIST(N$1,$B18,FALSE)/(_xlfn.POISSON.DIST(N$1,$B18,FALSE)+(1-$B18/N$1)*_xlfn.POISSON.DIST(N$1-1,$B18,TRUE))*EXP(-(N$1-$B18)*'Staffing Calculator'!$B$5/'Staffing Calculator'!$B$6))</f>
        <v/>
      </c>
      <c r="O18" s="56">
        <f>IF(O$1&lt;=$B18,0,1-_xlfn.POISSON.DIST(O$1,$B18,FALSE)/(_xlfn.POISSON.DIST(O$1,$B18,FALSE)+(1-$B18/O$1)*_xlfn.POISSON.DIST(O$1-1,$B18,TRUE))*EXP(-(O$1-$B18)*'Staffing Calculator'!$B$5/'Staffing Calculator'!$B$6))</f>
        <v/>
      </c>
      <c r="P18" s="56">
        <f>IF(P$1&lt;=$B18,0,1-_xlfn.POISSON.DIST(P$1,$B18,FALSE)/(_xlfn.POISSON.DIST(P$1,$B18,FALSE)+(1-$B18/P$1)*_xlfn.POISSON.DIST(P$1-1,$B18,TRUE))*EXP(-(P$1-$B18)*'Staffing Calculator'!$B$5/'Staffing Calculator'!$B$6))</f>
        <v/>
      </c>
      <c r="Q18" s="56">
        <f>IF(Q$1&lt;=$B18,0,1-_xlfn.POISSON.DIST(Q$1,$B18,FALSE)/(_xlfn.POISSON.DIST(Q$1,$B18,FALSE)+(1-$B18/Q$1)*_xlfn.POISSON.DIST(Q$1-1,$B18,TRUE))*EXP(-(Q$1-$B18)*'Staffing Calculator'!$B$5/'Staffing Calculator'!$B$6))</f>
        <v/>
      </c>
      <c r="R18" s="56">
        <f>IF(R$1&lt;=$B18,0,1-_xlfn.POISSON.DIST(R$1,$B18,FALSE)/(_xlfn.POISSON.DIST(R$1,$B18,FALSE)+(1-$B18/R$1)*_xlfn.POISSON.DIST(R$1-1,$B18,TRUE))*EXP(-(R$1-$B18)*'Staffing Calculator'!$B$5/'Staffing Calculator'!$B$6))</f>
        <v/>
      </c>
      <c r="S18" s="56">
        <f>IF(S$1&lt;=$B18,0,1-_xlfn.POISSON.DIST(S$1,$B18,FALSE)/(_xlfn.POISSON.DIST(S$1,$B18,FALSE)+(1-$B18/S$1)*_xlfn.POISSON.DIST(S$1-1,$B18,TRUE))*EXP(-(S$1-$B18)*'Staffing Calculator'!$B$5/'Staffing Calculator'!$B$6))</f>
        <v/>
      </c>
      <c r="T18" s="56">
        <f>IF(T$1&lt;=$B18,0,1-_xlfn.POISSON.DIST(T$1,$B18,FALSE)/(_xlfn.POISSON.DIST(T$1,$B18,FALSE)+(1-$B18/T$1)*_xlfn.POISSON.DIST(T$1-1,$B18,TRUE))*EXP(-(T$1-$B18)*'Staffing Calculator'!$B$5/'Staffing Calculator'!$B$6))</f>
        <v/>
      </c>
      <c r="U18" s="56">
        <f>IF(U$1&lt;=$B18,0,1-_xlfn.POISSON.DIST(U$1,$B18,FALSE)/(_xlfn.POISSON.DIST(U$1,$B18,FALSE)+(1-$B18/U$1)*_xlfn.POISSON.DIST(U$1-1,$B18,TRUE))*EXP(-(U$1-$B18)*'Staffing Calculator'!$B$5/'Staffing Calculator'!$B$6))</f>
        <v/>
      </c>
      <c r="V18" s="56">
        <f>IF(V$1&lt;=$B18,0,1-_xlfn.POISSON.DIST(V$1,$B18,FALSE)/(_xlfn.POISSON.DIST(V$1,$B18,FALSE)+(1-$B18/V$1)*_xlfn.POISSON.DIST(V$1-1,$B18,TRUE))*EXP(-(V$1-$B18)*'Staffing Calculator'!$B$5/'Staffing Calculator'!$B$6))</f>
        <v/>
      </c>
      <c r="W18" s="56">
        <f>IF(W$1&lt;=$B18,0,1-_xlfn.POISSON.DIST(W$1,$B18,FALSE)/(_xlfn.POISSON.DIST(W$1,$B18,FALSE)+(1-$B18/W$1)*_xlfn.POISSON.DIST(W$1-1,$B18,TRUE))*EXP(-(W$1-$B18)*'Staffing Calculator'!$B$5/'Staffing Calculator'!$B$6))</f>
        <v/>
      </c>
      <c r="X18" s="56">
        <f>IF(X$1&lt;=$B18,0,1-_xlfn.POISSON.DIST(X$1,$B18,FALSE)/(_xlfn.POISSON.DIST(X$1,$B18,FALSE)+(1-$B18/X$1)*_xlfn.POISSON.DIST(X$1-1,$B18,TRUE))*EXP(-(X$1-$B18)*'Staffing Calculator'!$B$5/'Staffing Calculator'!$B$6))</f>
        <v/>
      </c>
      <c r="Y18" s="56">
        <f>IF(Y$1&lt;=$B18,0,1-_xlfn.POISSON.DIST(Y$1,$B18,FALSE)/(_xlfn.POISSON.DIST(Y$1,$B18,FALSE)+(1-$B18/Y$1)*_xlfn.POISSON.DIST(Y$1-1,$B18,TRUE))*EXP(-(Y$1-$B18)*'Staffing Calculator'!$B$5/'Staffing Calculator'!$B$6))</f>
        <v/>
      </c>
      <c r="Z18" s="56">
        <f>IF(Z$1&lt;=$B18,0,1-_xlfn.POISSON.DIST(Z$1,$B18,FALSE)/(_xlfn.POISSON.DIST(Z$1,$B18,FALSE)+(1-$B18/Z$1)*_xlfn.POISSON.DIST(Z$1-1,$B18,TRUE))*EXP(-(Z$1-$B18)*'Staffing Calculator'!$B$5/'Staffing Calculator'!$B$6))</f>
        <v/>
      </c>
      <c r="AA18" s="56">
        <f>IF(AA$1&lt;=$B18,0,1-_xlfn.POISSON.DIST(AA$1,$B18,FALSE)/(_xlfn.POISSON.DIST(AA$1,$B18,FALSE)+(1-$B18/AA$1)*_xlfn.POISSON.DIST(AA$1-1,$B18,TRUE))*EXP(-(AA$1-$B18)*'Staffing Calculator'!$B$5/'Staffing Calculator'!$B$6))</f>
        <v/>
      </c>
      <c r="AB18" s="56">
        <f>IF(AB$1&lt;=$B18,0,1-_xlfn.POISSON.DIST(AB$1,$B18,FALSE)/(_xlfn.POISSON.DIST(AB$1,$B18,FALSE)+(1-$B18/AB$1)*_xlfn.POISSON.DIST(AB$1-1,$B18,TRUE))*EXP(-(AB$1-$B18)*'Staffing Calculator'!$B$5/'Staffing Calculator'!$B$6))</f>
        <v/>
      </c>
      <c r="AC18" s="56">
        <f>IF(AC$1&lt;=$B18,0,1-_xlfn.POISSON.DIST(AC$1,$B18,FALSE)/(_xlfn.POISSON.DIST(AC$1,$B18,FALSE)+(1-$B18/AC$1)*_xlfn.POISSON.DIST(AC$1-1,$B18,TRUE))*EXP(-(AC$1-$B18)*'Staffing Calculator'!$B$5/'Staffing Calculator'!$B$6))</f>
        <v/>
      </c>
      <c r="AD18" s="56">
        <f>IF(AD$1&lt;=$B18,0,1-_xlfn.POISSON.DIST(AD$1,$B18,FALSE)/(_xlfn.POISSON.DIST(AD$1,$B18,FALSE)+(1-$B18/AD$1)*_xlfn.POISSON.DIST(AD$1-1,$B18,TRUE))*EXP(-(AD$1-$B18)*'Staffing Calculator'!$B$5/'Staffing Calculator'!$B$6))</f>
        <v/>
      </c>
      <c r="AE18" s="56">
        <f>IF(AE$1&lt;=$B18,0,1-_xlfn.POISSON.DIST(AE$1,$B18,FALSE)/(_xlfn.POISSON.DIST(AE$1,$B18,FALSE)+(1-$B18/AE$1)*_xlfn.POISSON.DIST(AE$1-1,$B18,TRUE))*EXP(-(AE$1-$B18)*'Staffing Calculator'!$B$5/'Staffing Calculator'!$B$6))</f>
        <v/>
      </c>
      <c r="AF18" s="56">
        <f>IF(AF$1&lt;=$B18,0,1-_xlfn.POISSON.DIST(AF$1,$B18,FALSE)/(_xlfn.POISSON.DIST(AF$1,$B18,FALSE)+(1-$B18/AF$1)*_xlfn.POISSON.DIST(AF$1-1,$B18,TRUE))*EXP(-(AF$1-$B18)*'Staffing Calculator'!$B$5/'Staffing Calculator'!$B$6))</f>
        <v/>
      </c>
      <c r="AG18" s="56">
        <f>IF(AG$1&lt;=$B18,0,1-_xlfn.POISSON.DIST(AG$1,$B18,FALSE)/(_xlfn.POISSON.DIST(AG$1,$B18,FALSE)+(1-$B18/AG$1)*_xlfn.POISSON.DIST(AG$1-1,$B18,TRUE))*EXP(-(AG$1-$B18)*'Staffing Calculator'!$B$5/'Staffing Calculator'!$B$6))</f>
        <v/>
      </c>
      <c r="AH18" s="56">
        <f>IF(AH$1&lt;=$B18,0,1-_xlfn.POISSON.DIST(AH$1,$B18,FALSE)/(_xlfn.POISSON.DIST(AH$1,$B18,FALSE)+(1-$B18/AH$1)*_xlfn.POISSON.DIST(AH$1-1,$B18,TRUE))*EXP(-(AH$1-$B18)*'Staffing Calculator'!$B$5/'Staffing Calculator'!$B$6))</f>
        <v/>
      </c>
      <c r="AI18" s="56">
        <f>IF(AI$1&lt;=$B18,0,1-_xlfn.POISSON.DIST(AI$1,$B18,FALSE)/(_xlfn.POISSON.DIST(AI$1,$B18,FALSE)+(1-$B18/AI$1)*_xlfn.POISSON.DIST(AI$1-1,$B18,TRUE))*EXP(-(AI$1-$B18)*'Staffing Calculator'!$B$5/'Staffing Calculator'!$B$6))</f>
        <v/>
      </c>
      <c r="AJ18" s="56">
        <f>IF(AJ$1&lt;=$B18,0,1-_xlfn.POISSON.DIST(AJ$1,$B18,FALSE)/(_xlfn.POISSON.DIST(AJ$1,$B18,FALSE)+(1-$B18/AJ$1)*_xlfn.POISSON.DIST(AJ$1-1,$B18,TRUE))*EXP(-(AJ$1-$B18)*'Staffing Calculator'!$B$5/'Staffing Calculator'!$B$6))</f>
        <v/>
      </c>
      <c r="AK18" s="56">
        <f>IF(AK$1&lt;=$B18,0,1-_xlfn.POISSON.DIST(AK$1,$B18,FALSE)/(_xlfn.POISSON.DIST(AK$1,$B18,FALSE)+(1-$B18/AK$1)*_xlfn.POISSON.DIST(AK$1-1,$B18,TRUE))*EXP(-(AK$1-$B18)*'Staffing Calculator'!$B$5/'Staffing Calculator'!$B$6))</f>
        <v/>
      </c>
      <c r="AL18" s="56">
        <f>IF(AL$1&lt;=$B18,0,1-_xlfn.POISSON.DIST(AL$1,$B18,FALSE)/(_xlfn.POISSON.DIST(AL$1,$B18,FALSE)+(1-$B18/AL$1)*_xlfn.POISSON.DIST(AL$1-1,$B18,TRUE))*EXP(-(AL$1-$B18)*'Staffing Calculator'!$B$5/'Staffing Calculator'!$B$6))</f>
        <v/>
      </c>
      <c r="AM18" s="56">
        <f>IF(AM$1&lt;=$B18,0,1-_xlfn.POISSON.DIST(AM$1,$B18,FALSE)/(_xlfn.POISSON.DIST(AM$1,$B18,FALSE)+(1-$B18/AM$1)*_xlfn.POISSON.DIST(AM$1-1,$B18,TRUE))*EXP(-(AM$1-$B18)*'Staffing Calculator'!$B$5/'Staffing Calculator'!$B$6))</f>
        <v/>
      </c>
      <c r="AN18" s="56">
        <f>IF(AN$1&lt;=$B18,0,1-_xlfn.POISSON.DIST(AN$1,$B18,FALSE)/(_xlfn.POISSON.DIST(AN$1,$B18,FALSE)+(1-$B18/AN$1)*_xlfn.POISSON.DIST(AN$1-1,$B18,TRUE))*EXP(-(AN$1-$B18)*'Staffing Calculator'!$B$5/'Staffing Calculator'!$B$6))</f>
        <v/>
      </c>
      <c r="AO18" s="56">
        <f>IF(AO$1&lt;=$B18,0,1-_xlfn.POISSON.DIST(AO$1,$B18,FALSE)/(_xlfn.POISSON.DIST(AO$1,$B18,FALSE)+(1-$B18/AO$1)*_xlfn.POISSON.DIST(AO$1-1,$B18,TRUE))*EXP(-(AO$1-$B18)*'Staffing Calculator'!$B$5/'Staffing Calculator'!$B$6))</f>
        <v/>
      </c>
      <c r="AP18" s="56">
        <f>IF(AP$1&lt;=$B18,0,1-_xlfn.POISSON.DIST(AP$1,$B18,FALSE)/(_xlfn.POISSON.DIST(AP$1,$B18,FALSE)+(1-$B18/AP$1)*_xlfn.POISSON.DIST(AP$1-1,$B18,TRUE))*EXP(-(AP$1-$B18)*'Staffing Calculator'!$B$5/'Staffing Calculator'!$B$6))</f>
        <v/>
      </c>
      <c r="AQ18" s="56">
        <f>IF(AQ$1&lt;=$B18,0,1-_xlfn.POISSON.DIST(AQ$1,$B18,FALSE)/(_xlfn.POISSON.DIST(AQ$1,$B18,FALSE)+(1-$B18/AQ$1)*_xlfn.POISSON.DIST(AQ$1-1,$B18,TRUE))*EXP(-(AQ$1-$B18)*'Staffing Calculator'!$B$5/'Staffing Calculator'!$B$6))</f>
        <v/>
      </c>
      <c r="AR18" s="56">
        <f>IF(AR$1&lt;=$B18,0,1-_xlfn.POISSON.DIST(AR$1,$B18,FALSE)/(_xlfn.POISSON.DIST(AR$1,$B18,FALSE)+(1-$B18/AR$1)*_xlfn.POISSON.DIST(AR$1-1,$B18,TRUE))*EXP(-(AR$1-$B18)*'Staffing Calculator'!$B$5/'Staffing Calculator'!$B$6))</f>
        <v/>
      </c>
      <c r="AS18" s="56">
        <f>IF(AS$1&lt;=$B18,0,1-_xlfn.POISSON.DIST(AS$1,$B18,FALSE)/(_xlfn.POISSON.DIST(AS$1,$B18,FALSE)+(1-$B18/AS$1)*_xlfn.POISSON.DIST(AS$1-1,$B18,TRUE))*EXP(-(AS$1-$B18)*'Staffing Calculator'!$B$5/'Staffing Calculator'!$B$6))</f>
        <v/>
      </c>
      <c r="AT18" s="56">
        <f>IF(AT$1&lt;=$B18,0,1-_xlfn.POISSON.DIST(AT$1,$B18,FALSE)/(_xlfn.POISSON.DIST(AT$1,$B18,FALSE)+(1-$B18/AT$1)*_xlfn.POISSON.DIST(AT$1-1,$B18,TRUE))*EXP(-(AT$1-$B18)*'Staffing Calculator'!$B$5/'Staffing Calculator'!$B$6))</f>
        <v/>
      </c>
      <c r="AU18" s="56">
        <f>IF(AU$1&lt;=$B18,0,1-_xlfn.POISSON.DIST(AU$1,$B18,FALSE)/(_xlfn.POISSON.DIST(AU$1,$B18,FALSE)+(1-$B18/AU$1)*_xlfn.POISSON.DIST(AU$1-1,$B18,TRUE))*EXP(-(AU$1-$B18)*'Staffing Calculator'!$B$5/'Staffing Calculator'!$B$6))</f>
        <v/>
      </c>
      <c r="AV18" s="56">
        <f>IF(AV$1&lt;=$B18,0,1-_xlfn.POISSON.DIST(AV$1,$B18,FALSE)/(_xlfn.POISSON.DIST(AV$1,$B18,FALSE)+(1-$B18/AV$1)*_xlfn.POISSON.DIST(AV$1-1,$B18,TRUE))*EXP(-(AV$1-$B18)*'Staffing Calculator'!$B$5/'Staffing Calculator'!$B$6))</f>
        <v/>
      </c>
      <c r="AW18" s="56">
        <f>IF(AW$1&lt;=$B18,0,1-_xlfn.POISSON.DIST(AW$1,$B18,FALSE)/(_xlfn.POISSON.DIST(AW$1,$B18,FALSE)+(1-$B18/AW$1)*_xlfn.POISSON.DIST(AW$1-1,$B18,TRUE))*EXP(-(AW$1-$B18)*'Staffing Calculator'!$B$5/'Staffing Calculator'!$B$6))</f>
        <v/>
      </c>
      <c r="AX18" s="56">
        <f>IF(AX$1&lt;=$B18,0,1-_xlfn.POISSON.DIST(AX$1,$B18,FALSE)/(_xlfn.POISSON.DIST(AX$1,$B18,FALSE)+(1-$B18/AX$1)*_xlfn.POISSON.DIST(AX$1-1,$B18,TRUE))*EXP(-(AX$1-$B18)*'Staffing Calculator'!$B$5/'Staffing Calculator'!$B$6))</f>
        <v/>
      </c>
      <c r="AY18" s="56">
        <f>IF(AY$1&lt;=$B18,0,1-_xlfn.POISSON.DIST(AY$1,$B18,FALSE)/(_xlfn.POISSON.DIST(AY$1,$B18,FALSE)+(1-$B18/AY$1)*_xlfn.POISSON.DIST(AY$1-1,$B18,TRUE))*EXP(-(AY$1-$B18)*'Staffing Calculator'!$B$5/'Staffing Calculator'!$B$6))</f>
        <v/>
      </c>
      <c r="AZ18" s="56">
        <f>IF(AZ$1&lt;=$B18,0,1-_xlfn.POISSON.DIST(AZ$1,$B18,FALSE)/(_xlfn.POISSON.DIST(AZ$1,$B18,FALSE)+(1-$B18/AZ$1)*_xlfn.POISSON.DIST(AZ$1-1,$B18,TRUE))*EXP(-(AZ$1-$B18)*'Staffing Calculator'!$B$5/'Staffing Calculator'!$B$6))</f>
        <v/>
      </c>
      <c r="BA18" s="56">
        <f>IF(BA$1&lt;=$B18,0,1-_xlfn.POISSON.DIST(BA$1,$B18,FALSE)/(_xlfn.POISSON.DIST(BA$1,$B18,FALSE)+(1-$B18/BA$1)*_xlfn.POISSON.DIST(BA$1-1,$B18,TRUE))*EXP(-(BA$1-$B18)*'Staffing Calculator'!$B$5/'Staffing Calculator'!$B$6))</f>
        <v/>
      </c>
      <c r="BB18" s="56">
        <f>IF(BB$1&lt;=$B18,0,1-_xlfn.POISSON.DIST(BB$1,$B18,FALSE)/(_xlfn.POISSON.DIST(BB$1,$B18,FALSE)+(1-$B18/BB$1)*_xlfn.POISSON.DIST(BB$1-1,$B18,TRUE))*EXP(-(BB$1-$B18)*'Staffing Calculator'!$B$5/'Staffing Calculator'!$B$6))</f>
        <v/>
      </c>
      <c r="BC18" s="56">
        <f>IF(BC$1&lt;=$B18,0,1-_xlfn.POISSON.DIST(BC$1,$B18,FALSE)/(_xlfn.POISSON.DIST(BC$1,$B18,FALSE)+(1-$B18/BC$1)*_xlfn.POISSON.DIST(BC$1-1,$B18,TRUE))*EXP(-(BC$1-$B18)*'Staffing Calculator'!$B$5/'Staffing Calculator'!$B$6))</f>
        <v/>
      </c>
      <c r="BD18" s="56">
        <f>IF(BD$1&lt;=$B18,0,1-_xlfn.POISSON.DIST(BD$1,$B18,FALSE)/(_xlfn.POISSON.DIST(BD$1,$B18,FALSE)+(1-$B18/BD$1)*_xlfn.POISSON.DIST(BD$1-1,$B18,TRUE))*EXP(-(BD$1-$B18)*'Staffing Calculator'!$B$5/'Staffing Calculator'!$B$6))</f>
        <v/>
      </c>
      <c r="BE18" s="56">
        <f>IF(BE$1&lt;=$B18,0,1-_xlfn.POISSON.DIST(BE$1,$B18,FALSE)/(_xlfn.POISSON.DIST(BE$1,$B18,FALSE)+(1-$B18/BE$1)*_xlfn.POISSON.DIST(BE$1-1,$B18,TRUE))*EXP(-(BE$1-$B18)*'Staffing Calculator'!$B$5/'Staffing Calculator'!$B$6))</f>
        <v/>
      </c>
      <c r="BF18" s="56">
        <f>IF(BF$1&lt;=$B18,0,1-_xlfn.POISSON.DIST(BF$1,$B18,FALSE)/(_xlfn.POISSON.DIST(BF$1,$B18,FALSE)+(1-$B18/BF$1)*_xlfn.POISSON.DIST(BF$1-1,$B18,TRUE))*EXP(-(BF$1-$B18)*'Staffing Calculator'!$B$5/'Staffing Calculator'!$B$6))</f>
        <v/>
      </c>
      <c r="BG18" s="56">
        <f>IF(BG$1&lt;=$B18,0,1-_xlfn.POISSON.DIST(BG$1,$B18,FALSE)/(_xlfn.POISSON.DIST(BG$1,$B18,FALSE)+(1-$B18/BG$1)*_xlfn.POISSON.DIST(BG$1-1,$B18,TRUE))*EXP(-(BG$1-$B18)*'Staffing Calculator'!$B$5/'Staffing Calculator'!$B$6))</f>
        <v/>
      </c>
      <c r="BH18" s="56">
        <f>IF(BH$1&lt;=$B18,0,1-_xlfn.POISSON.DIST(BH$1,$B18,FALSE)/(_xlfn.POISSON.DIST(BH$1,$B18,FALSE)+(1-$B18/BH$1)*_xlfn.POISSON.DIST(BH$1-1,$B18,TRUE))*EXP(-(BH$1-$B18)*'Staffing Calculator'!$B$5/'Staffing Calculator'!$B$6))</f>
        <v/>
      </c>
      <c r="BI18" s="56">
        <f>IF(BI$1&lt;=$B18,0,1-_xlfn.POISSON.DIST(BI$1,$B18,FALSE)/(_xlfn.POISSON.DIST(BI$1,$B18,FALSE)+(1-$B18/BI$1)*_xlfn.POISSON.DIST(BI$1-1,$B18,TRUE))*EXP(-(BI$1-$B18)*'Staffing Calculator'!$B$5/'Staffing Calculator'!$B$6))</f>
        <v/>
      </c>
      <c r="BJ18" s="56">
        <f>IF(BJ$1&lt;=$B18,0,1-_xlfn.POISSON.DIST(BJ$1,$B18,FALSE)/(_xlfn.POISSON.DIST(BJ$1,$B18,FALSE)+(1-$B18/BJ$1)*_xlfn.POISSON.DIST(BJ$1-1,$B18,TRUE))*EXP(-(BJ$1-$B18)*'Staffing Calculator'!$B$5/'Staffing Calculator'!$B$6))</f>
        <v/>
      </c>
    </row>
    <row r="19">
      <c r="A19" s="54">
        <f>'Staffing Calculator'!A19</f>
        <v/>
      </c>
      <c r="B19" s="55">
        <f>'Staffing Calculator'!C19</f>
        <v/>
      </c>
      <c r="C19" s="56">
        <f>IF(C$1&lt;=$B19,0,1-_xlfn.POISSON.DIST(C$1,$B19,FALSE)/(_xlfn.POISSON.DIST(C$1,$B19,FALSE)+(1-$B19/C$1)*_xlfn.POISSON.DIST(C$1-1,$B19,TRUE))*EXP(-(C$1-$B19)*'Staffing Calculator'!$B$5/'Staffing Calculator'!$B$6))</f>
        <v/>
      </c>
      <c r="D19" s="56">
        <f>IF(D$1&lt;=$B19,0,1-_xlfn.POISSON.DIST(D$1,$B19,FALSE)/(_xlfn.POISSON.DIST(D$1,$B19,FALSE)+(1-$B19/D$1)*_xlfn.POISSON.DIST(D$1-1,$B19,TRUE))*EXP(-(D$1-$B19)*'Staffing Calculator'!$B$5/'Staffing Calculator'!$B$6))</f>
        <v/>
      </c>
      <c r="E19" s="56">
        <f>IF(E$1&lt;=$B19,0,1-_xlfn.POISSON.DIST(E$1,$B19,FALSE)/(_xlfn.POISSON.DIST(E$1,$B19,FALSE)+(1-$B19/E$1)*_xlfn.POISSON.DIST(E$1-1,$B19,TRUE))*EXP(-(E$1-$B19)*'Staffing Calculator'!$B$5/'Staffing Calculator'!$B$6))</f>
        <v/>
      </c>
      <c r="F19" s="56">
        <f>IF(F$1&lt;=$B19,0,1-_xlfn.POISSON.DIST(F$1,$B19,FALSE)/(_xlfn.POISSON.DIST(F$1,$B19,FALSE)+(1-$B19/F$1)*_xlfn.POISSON.DIST(F$1-1,$B19,TRUE))*EXP(-(F$1-$B19)*'Staffing Calculator'!$B$5/'Staffing Calculator'!$B$6))</f>
        <v/>
      </c>
      <c r="G19" s="56">
        <f>IF(G$1&lt;=$B19,0,1-_xlfn.POISSON.DIST(G$1,$B19,FALSE)/(_xlfn.POISSON.DIST(G$1,$B19,FALSE)+(1-$B19/G$1)*_xlfn.POISSON.DIST(G$1-1,$B19,TRUE))*EXP(-(G$1-$B19)*'Staffing Calculator'!$B$5/'Staffing Calculator'!$B$6))</f>
        <v/>
      </c>
      <c r="H19" s="56">
        <f>IF(H$1&lt;=$B19,0,1-_xlfn.POISSON.DIST(H$1,$B19,FALSE)/(_xlfn.POISSON.DIST(H$1,$B19,FALSE)+(1-$B19/H$1)*_xlfn.POISSON.DIST(H$1-1,$B19,TRUE))*EXP(-(H$1-$B19)*'Staffing Calculator'!$B$5/'Staffing Calculator'!$B$6))</f>
        <v/>
      </c>
      <c r="I19" s="56">
        <f>IF(I$1&lt;=$B19,0,1-_xlfn.POISSON.DIST(I$1,$B19,FALSE)/(_xlfn.POISSON.DIST(I$1,$B19,FALSE)+(1-$B19/I$1)*_xlfn.POISSON.DIST(I$1-1,$B19,TRUE))*EXP(-(I$1-$B19)*'Staffing Calculator'!$B$5/'Staffing Calculator'!$B$6))</f>
        <v/>
      </c>
      <c r="J19" s="56">
        <f>IF(J$1&lt;=$B19,0,1-_xlfn.POISSON.DIST(J$1,$B19,FALSE)/(_xlfn.POISSON.DIST(J$1,$B19,FALSE)+(1-$B19/J$1)*_xlfn.POISSON.DIST(J$1-1,$B19,TRUE))*EXP(-(J$1-$B19)*'Staffing Calculator'!$B$5/'Staffing Calculator'!$B$6))</f>
        <v/>
      </c>
      <c r="K19" s="56">
        <f>IF(K$1&lt;=$B19,0,1-_xlfn.POISSON.DIST(K$1,$B19,FALSE)/(_xlfn.POISSON.DIST(K$1,$B19,FALSE)+(1-$B19/K$1)*_xlfn.POISSON.DIST(K$1-1,$B19,TRUE))*EXP(-(K$1-$B19)*'Staffing Calculator'!$B$5/'Staffing Calculator'!$B$6))</f>
        <v/>
      </c>
      <c r="L19" s="56">
        <f>IF(L$1&lt;=$B19,0,1-_xlfn.POISSON.DIST(L$1,$B19,FALSE)/(_xlfn.POISSON.DIST(L$1,$B19,FALSE)+(1-$B19/L$1)*_xlfn.POISSON.DIST(L$1-1,$B19,TRUE))*EXP(-(L$1-$B19)*'Staffing Calculator'!$B$5/'Staffing Calculator'!$B$6))</f>
        <v/>
      </c>
      <c r="M19" s="56">
        <f>IF(M$1&lt;=$B19,0,1-_xlfn.POISSON.DIST(M$1,$B19,FALSE)/(_xlfn.POISSON.DIST(M$1,$B19,FALSE)+(1-$B19/M$1)*_xlfn.POISSON.DIST(M$1-1,$B19,TRUE))*EXP(-(M$1-$B19)*'Staffing Calculator'!$B$5/'Staffing Calculator'!$B$6))</f>
        <v/>
      </c>
      <c r="N19" s="56">
        <f>IF(N$1&lt;=$B19,0,1-_xlfn.POISSON.DIST(N$1,$B19,FALSE)/(_xlfn.POISSON.DIST(N$1,$B19,FALSE)+(1-$B19/N$1)*_xlfn.POISSON.DIST(N$1-1,$B19,TRUE))*EXP(-(N$1-$B19)*'Staffing Calculator'!$B$5/'Staffing Calculator'!$B$6))</f>
        <v/>
      </c>
      <c r="O19" s="56">
        <f>IF(O$1&lt;=$B19,0,1-_xlfn.POISSON.DIST(O$1,$B19,FALSE)/(_xlfn.POISSON.DIST(O$1,$B19,FALSE)+(1-$B19/O$1)*_xlfn.POISSON.DIST(O$1-1,$B19,TRUE))*EXP(-(O$1-$B19)*'Staffing Calculator'!$B$5/'Staffing Calculator'!$B$6))</f>
        <v/>
      </c>
      <c r="P19" s="56">
        <f>IF(P$1&lt;=$B19,0,1-_xlfn.POISSON.DIST(P$1,$B19,FALSE)/(_xlfn.POISSON.DIST(P$1,$B19,FALSE)+(1-$B19/P$1)*_xlfn.POISSON.DIST(P$1-1,$B19,TRUE))*EXP(-(P$1-$B19)*'Staffing Calculator'!$B$5/'Staffing Calculator'!$B$6))</f>
        <v/>
      </c>
      <c r="Q19" s="56">
        <f>IF(Q$1&lt;=$B19,0,1-_xlfn.POISSON.DIST(Q$1,$B19,FALSE)/(_xlfn.POISSON.DIST(Q$1,$B19,FALSE)+(1-$B19/Q$1)*_xlfn.POISSON.DIST(Q$1-1,$B19,TRUE))*EXP(-(Q$1-$B19)*'Staffing Calculator'!$B$5/'Staffing Calculator'!$B$6))</f>
        <v/>
      </c>
      <c r="R19" s="56">
        <f>IF(R$1&lt;=$B19,0,1-_xlfn.POISSON.DIST(R$1,$B19,FALSE)/(_xlfn.POISSON.DIST(R$1,$B19,FALSE)+(1-$B19/R$1)*_xlfn.POISSON.DIST(R$1-1,$B19,TRUE))*EXP(-(R$1-$B19)*'Staffing Calculator'!$B$5/'Staffing Calculator'!$B$6))</f>
        <v/>
      </c>
      <c r="S19" s="56">
        <f>IF(S$1&lt;=$B19,0,1-_xlfn.POISSON.DIST(S$1,$B19,FALSE)/(_xlfn.POISSON.DIST(S$1,$B19,FALSE)+(1-$B19/S$1)*_xlfn.POISSON.DIST(S$1-1,$B19,TRUE))*EXP(-(S$1-$B19)*'Staffing Calculator'!$B$5/'Staffing Calculator'!$B$6))</f>
        <v/>
      </c>
      <c r="T19" s="56">
        <f>IF(T$1&lt;=$B19,0,1-_xlfn.POISSON.DIST(T$1,$B19,FALSE)/(_xlfn.POISSON.DIST(T$1,$B19,FALSE)+(1-$B19/T$1)*_xlfn.POISSON.DIST(T$1-1,$B19,TRUE))*EXP(-(T$1-$B19)*'Staffing Calculator'!$B$5/'Staffing Calculator'!$B$6))</f>
        <v/>
      </c>
      <c r="U19" s="56">
        <f>IF(U$1&lt;=$B19,0,1-_xlfn.POISSON.DIST(U$1,$B19,FALSE)/(_xlfn.POISSON.DIST(U$1,$B19,FALSE)+(1-$B19/U$1)*_xlfn.POISSON.DIST(U$1-1,$B19,TRUE))*EXP(-(U$1-$B19)*'Staffing Calculator'!$B$5/'Staffing Calculator'!$B$6))</f>
        <v/>
      </c>
      <c r="V19" s="56">
        <f>IF(V$1&lt;=$B19,0,1-_xlfn.POISSON.DIST(V$1,$B19,FALSE)/(_xlfn.POISSON.DIST(V$1,$B19,FALSE)+(1-$B19/V$1)*_xlfn.POISSON.DIST(V$1-1,$B19,TRUE))*EXP(-(V$1-$B19)*'Staffing Calculator'!$B$5/'Staffing Calculator'!$B$6))</f>
        <v/>
      </c>
      <c r="W19" s="56">
        <f>IF(W$1&lt;=$B19,0,1-_xlfn.POISSON.DIST(W$1,$B19,FALSE)/(_xlfn.POISSON.DIST(W$1,$B19,FALSE)+(1-$B19/W$1)*_xlfn.POISSON.DIST(W$1-1,$B19,TRUE))*EXP(-(W$1-$B19)*'Staffing Calculator'!$B$5/'Staffing Calculator'!$B$6))</f>
        <v/>
      </c>
      <c r="X19" s="56">
        <f>IF(X$1&lt;=$B19,0,1-_xlfn.POISSON.DIST(X$1,$B19,FALSE)/(_xlfn.POISSON.DIST(X$1,$B19,FALSE)+(1-$B19/X$1)*_xlfn.POISSON.DIST(X$1-1,$B19,TRUE))*EXP(-(X$1-$B19)*'Staffing Calculator'!$B$5/'Staffing Calculator'!$B$6))</f>
        <v/>
      </c>
      <c r="Y19" s="56">
        <f>IF(Y$1&lt;=$B19,0,1-_xlfn.POISSON.DIST(Y$1,$B19,FALSE)/(_xlfn.POISSON.DIST(Y$1,$B19,FALSE)+(1-$B19/Y$1)*_xlfn.POISSON.DIST(Y$1-1,$B19,TRUE))*EXP(-(Y$1-$B19)*'Staffing Calculator'!$B$5/'Staffing Calculator'!$B$6))</f>
        <v/>
      </c>
      <c r="Z19" s="56">
        <f>IF(Z$1&lt;=$B19,0,1-_xlfn.POISSON.DIST(Z$1,$B19,FALSE)/(_xlfn.POISSON.DIST(Z$1,$B19,FALSE)+(1-$B19/Z$1)*_xlfn.POISSON.DIST(Z$1-1,$B19,TRUE))*EXP(-(Z$1-$B19)*'Staffing Calculator'!$B$5/'Staffing Calculator'!$B$6))</f>
        <v/>
      </c>
      <c r="AA19" s="56">
        <f>IF(AA$1&lt;=$B19,0,1-_xlfn.POISSON.DIST(AA$1,$B19,FALSE)/(_xlfn.POISSON.DIST(AA$1,$B19,FALSE)+(1-$B19/AA$1)*_xlfn.POISSON.DIST(AA$1-1,$B19,TRUE))*EXP(-(AA$1-$B19)*'Staffing Calculator'!$B$5/'Staffing Calculator'!$B$6))</f>
        <v/>
      </c>
      <c r="AB19" s="56">
        <f>IF(AB$1&lt;=$B19,0,1-_xlfn.POISSON.DIST(AB$1,$B19,FALSE)/(_xlfn.POISSON.DIST(AB$1,$B19,FALSE)+(1-$B19/AB$1)*_xlfn.POISSON.DIST(AB$1-1,$B19,TRUE))*EXP(-(AB$1-$B19)*'Staffing Calculator'!$B$5/'Staffing Calculator'!$B$6))</f>
        <v/>
      </c>
      <c r="AC19" s="56">
        <f>IF(AC$1&lt;=$B19,0,1-_xlfn.POISSON.DIST(AC$1,$B19,FALSE)/(_xlfn.POISSON.DIST(AC$1,$B19,FALSE)+(1-$B19/AC$1)*_xlfn.POISSON.DIST(AC$1-1,$B19,TRUE))*EXP(-(AC$1-$B19)*'Staffing Calculator'!$B$5/'Staffing Calculator'!$B$6))</f>
        <v/>
      </c>
      <c r="AD19" s="56">
        <f>IF(AD$1&lt;=$B19,0,1-_xlfn.POISSON.DIST(AD$1,$B19,FALSE)/(_xlfn.POISSON.DIST(AD$1,$B19,FALSE)+(1-$B19/AD$1)*_xlfn.POISSON.DIST(AD$1-1,$B19,TRUE))*EXP(-(AD$1-$B19)*'Staffing Calculator'!$B$5/'Staffing Calculator'!$B$6))</f>
        <v/>
      </c>
      <c r="AE19" s="56">
        <f>IF(AE$1&lt;=$B19,0,1-_xlfn.POISSON.DIST(AE$1,$B19,FALSE)/(_xlfn.POISSON.DIST(AE$1,$B19,FALSE)+(1-$B19/AE$1)*_xlfn.POISSON.DIST(AE$1-1,$B19,TRUE))*EXP(-(AE$1-$B19)*'Staffing Calculator'!$B$5/'Staffing Calculator'!$B$6))</f>
        <v/>
      </c>
      <c r="AF19" s="56">
        <f>IF(AF$1&lt;=$B19,0,1-_xlfn.POISSON.DIST(AF$1,$B19,FALSE)/(_xlfn.POISSON.DIST(AF$1,$B19,FALSE)+(1-$B19/AF$1)*_xlfn.POISSON.DIST(AF$1-1,$B19,TRUE))*EXP(-(AF$1-$B19)*'Staffing Calculator'!$B$5/'Staffing Calculator'!$B$6))</f>
        <v/>
      </c>
      <c r="AG19" s="56">
        <f>IF(AG$1&lt;=$B19,0,1-_xlfn.POISSON.DIST(AG$1,$B19,FALSE)/(_xlfn.POISSON.DIST(AG$1,$B19,FALSE)+(1-$B19/AG$1)*_xlfn.POISSON.DIST(AG$1-1,$B19,TRUE))*EXP(-(AG$1-$B19)*'Staffing Calculator'!$B$5/'Staffing Calculator'!$B$6))</f>
        <v/>
      </c>
      <c r="AH19" s="56">
        <f>IF(AH$1&lt;=$B19,0,1-_xlfn.POISSON.DIST(AH$1,$B19,FALSE)/(_xlfn.POISSON.DIST(AH$1,$B19,FALSE)+(1-$B19/AH$1)*_xlfn.POISSON.DIST(AH$1-1,$B19,TRUE))*EXP(-(AH$1-$B19)*'Staffing Calculator'!$B$5/'Staffing Calculator'!$B$6))</f>
        <v/>
      </c>
      <c r="AI19" s="56">
        <f>IF(AI$1&lt;=$B19,0,1-_xlfn.POISSON.DIST(AI$1,$B19,FALSE)/(_xlfn.POISSON.DIST(AI$1,$B19,FALSE)+(1-$B19/AI$1)*_xlfn.POISSON.DIST(AI$1-1,$B19,TRUE))*EXP(-(AI$1-$B19)*'Staffing Calculator'!$B$5/'Staffing Calculator'!$B$6))</f>
        <v/>
      </c>
      <c r="AJ19" s="56">
        <f>IF(AJ$1&lt;=$B19,0,1-_xlfn.POISSON.DIST(AJ$1,$B19,FALSE)/(_xlfn.POISSON.DIST(AJ$1,$B19,FALSE)+(1-$B19/AJ$1)*_xlfn.POISSON.DIST(AJ$1-1,$B19,TRUE))*EXP(-(AJ$1-$B19)*'Staffing Calculator'!$B$5/'Staffing Calculator'!$B$6))</f>
        <v/>
      </c>
      <c r="AK19" s="56">
        <f>IF(AK$1&lt;=$B19,0,1-_xlfn.POISSON.DIST(AK$1,$B19,FALSE)/(_xlfn.POISSON.DIST(AK$1,$B19,FALSE)+(1-$B19/AK$1)*_xlfn.POISSON.DIST(AK$1-1,$B19,TRUE))*EXP(-(AK$1-$B19)*'Staffing Calculator'!$B$5/'Staffing Calculator'!$B$6))</f>
        <v/>
      </c>
      <c r="AL19" s="56">
        <f>IF(AL$1&lt;=$B19,0,1-_xlfn.POISSON.DIST(AL$1,$B19,FALSE)/(_xlfn.POISSON.DIST(AL$1,$B19,FALSE)+(1-$B19/AL$1)*_xlfn.POISSON.DIST(AL$1-1,$B19,TRUE))*EXP(-(AL$1-$B19)*'Staffing Calculator'!$B$5/'Staffing Calculator'!$B$6))</f>
        <v/>
      </c>
      <c r="AM19" s="56">
        <f>IF(AM$1&lt;=$B19,0,1-_xlfn.POISSON.DIST(AM$1,$B19,FALSE)/(_xlfn.POISSON.DIST(AM$1,$B19,FALSE)+(1-$B19/AM$1)*_xlfn.POISSON.DIST(AM$1-1,$B19,TRUE))*EXP(-(AM$1-$B19)*'Staffing Calculator'!$B$5/'Staffing Calculator'!$B$6))</f>
        <v/>
      </c>
      <c r="AN19" s="56">
        <f>IF(AN$1&lt;=$B19,0,1-_xlfn.POISSON.DIST(AN$1,$B19,FALSE)/(_xlfn.POISSON.DIST(AN$1,$B19,FALSE)+(1-$B19/AN$1)*_xlfn.POISSON.DIST(AN$1-1,$B19,TRUE))*EXP(-(AN$1-$B19)*'Staffing Calculator'!$B$5/'Staffing Calculator'!$B$6))</f>
        <v/>
      </c>
      <c r="AO19" s="56">
        <f>IF(AO$1&lt;=$B19,0,1-_xlfn.POISSON.DIST(AO$1,$B19,FALSE)/(_xlfn.POISSON.DIST(AO$1,$B19,FALSE)+(1-$B19/AO$1)*_xlfn.POISSON.DIST(AO$1-1,$B19,TRUE))*EXP(-(AO$1-$B19)*'Staffing Calculator'!$B$5/'Staffing Calculator'!$B$6))</f>
        <v/>
      </c>
      <c r="AP19" s="56">
        <f>IF(AP$1&lt;=$B19,0,1-_xlfn.POISSON.DIST(AP$1,$B19,FALSE)/(_xlfn.POISSON.DIST(AP$1,$B19,FALSE)+(1-$B19/AP$1)*_xlfn.POISSON.DIST(AP$1-1,$B19,TRUE))*EXP(-(AP$1-$B19)*'Staffing Calculator'!$B$5/'Staffing Calculator'!$B$6))</f>
        <v/>
      </c>
      <c r="AQ19" s="56">
        <f>IF(AQ$1&lt;=$B19,0,1-_xlfn.POISSON.DIST(AQ$1,$B19,FALSE)/(_xlfn.POISSON.DIST(AQ$1,$B19,FALSE)+(1-$B19/AQ$1)*_xlfn.POISSON.DIST(AQ$1-1,$B19,TRUE))*EXP(-(AQ$1-$B19)*'Staffing Calculator'!$B$5/'Staffing Calculator'!$B$6))</f>
        <v/>
      </c>
      <c r="AR19" s="56">
        <f>IF(AR$1&lt;=$B19,0,1-_xlfn.POISSON.DIST(AR$1,$B19,FALSE)/(_xlfn.POISSON.DIST(AR$1,$B19,FALSE)+(1-$B19/AR$1)*_xlfn.POISSON.DIST(AR$1-1,$B19,TRUE))*EXP(-(AR$1-$B19)*'Staffing Calculator'!$B$5/'Staffing Calculator'!$B$6))</f>
        <v/>
      </c>
      <c r="AS19" s="56">
        <f>IF(AS$1&lt;=$B19,0,1-_xlfn.POISSON.DIST(AS$1,$B19,FALSE)/(_xlfn.POISSON.DIST(AS$1,$B19,FALSE)+(1-$B19/AS$1)*_xlfn.POISSON.DIST(AS$1-1,$B19,TRUE))*EXP(-(AS$1-$B19)*'Staffing Calculator'!$B$5/'Staffing Calculator'!$B$6))</f>
        <v/>
      </c>
      <c r="AT19" s="56">
        <f>IF(AT$1&lt;=$B19,0,1-_xlfn.POISSON.DIST(AT$1,$B19,FALSE)/(_xlfn.POISSON.DIST(AT$1,$B19,FALSE)+(1-$B19/AT$1)*_xlfn.POISSON.DIST(AT$1-1,$B19,TRUE))*EXP(-(AT$1-$B19)*'Staffing Calculator'!$B$5/'Staffing Calculator'!$B$6))</f>
        <v/>
      </c>
      <c r="AU19" s="56">
        <f>IF(AU$1&lt;=$B19,0,1-_xlfn.POISSON.DIST(AU$1,$B19,FALSE)/(_xlfn.POISSON.DIST(AU$1,$B19,FALSE)+(1-$B19/AU$1)*_xlfn.POISSON.DIST(AU$1-1,$B19,TRUE))*EXP(-(AU$1-$B19)*'Staffing Calculator'!$B$5/'Staffing Calculator'!$B$6))</f>
        <v/>
      </c>
      <c r="AV19" s="56">
        <f>IF(AV$1&lt;=$B19,0,1-_xlfn.POISSON.DIST(AV$1,$B19,FALSE)/(_xlfn.POISSON.DIST(AV$1,$B19,FALSE)+(1-$B19/AV$1)*_xlfn.POISSON.DIST(AV$1-1,$B19,TRUE))*EXP(-(AV$1-$B19)*'Staffing Calculator'!$B$5/'Staffing Calculator'!$B$6))</f>
        <v/>
      </c>
      <c r="AW19" s="56">
        <f>IF(AW$1&lt;=$B19,0,1-_xlfn.POISSON.DIST(AW$1,$B19,FALSE)/(_xlfn.POISSON.DIST(AW$1,$B19,FALSE)+(1-$B19/AW$1)*_xlfn.POISSON.DIST(AW$1-1,$B19,TRUE))*EXP(-(AW$1-$B19)*'Staffing Calculator'!$B$5/'Staffing Calculator'!$B$6))</f>
        <v/>
      </c>
      <c r="AX19" s="56">
        <f>IF(AX$1&lt;=$B19,0,1-_xlfn.POISSON.DIST(AX$1,$B19,FALSE)/(_xlfn.POISSON.DIST(AX$1,$B19,FALSE)+(1-$B19/AX$1)*_xlfn.POISSON.DIST(AX$1-1,$B19,TRUE))*EXP(-(AX$1-$B19)*'Staffing Calculator'!$B$5/'Staffing Calculator'!$B$6))</f>
        <v/>
      </c>
      <c r="AY19" s="56">
        <f>IF(AY$1&lt;=$B19,0,1-_xlfn.POISSON.DIST(AY$1,$B19,FALSE)/(_xlfn.POISSON.DIST(AY$1,$B19,FALSE)+(1-$B19/AY$1)*_xlfn.POISSON.DIST(AY$1-1,$B19,TRUE))*EXP(-(AY$1-$B19)*'Staffing Calculator'!$B$5/'Staffing Calculator'!$B$6))</f>
        <v/>
      </c>
      <c r="AZ19" s="56">
        <f>IF(AZ$1&lt;=$B19,0,1-_xlfn.POISSON.DIST(AZ$1,$B19,FALSE)/(_xlfn.POISSON.DIST(AZ$1,$B19,FALSE)+(1-$B19/AZ$1)*_xlfn.POISSON.DIST(AZ$1-1,$B19,TRUE))*EXP(-(AZ$1-$B19)*'Staffing Calculator'!$B$5/'Staffing Calculator'!$B$6))</f>
        <v/>
      </c>
      <c r="BA19" s="56">
        <f>IF(BA$1&lt;=$B19,0,1-_xlfn.POISSON.DIST(BA$1,$B19,FALSE)/(_xlfn.POISSON.DIST(BA$1,$B19,FALSE)+(1-$B19/BA$1)*_xlfn.POISSON.DIST(BA$1-1,$B19,TRUE))*EXP(-(BA$1-$B19)*'Staffing Calculator'!$B$5/'Staffing Calculator'!$B$6))</f>
        <v/>
      </c>
      <c r="BB19" s="56">
        <f>IF(BB$1&lt;=$B19,0,1-_xlfn.POISSON.DIST(BB$1,$B19,FALSE)/(_xlfn.POISSON.DIST(BB$1,$B19,FALSE)+(1-$B19/BB$1)*_xlfn.POISSON.DIST(BB$1-1,$B19,TRUE))*EXP(-(BB$1-$B19)*'Staffing Calculator'!$B$5/'Staffing Calculator'!$B$6))</f>
        <v/>
      </c>
      <c r="BC19" s="56">
        <f>IF(BC$1&lt;=$B19,0,1-_xlfn.POISSON.DIST(BC$1,$B19,FALSE)/(_xlfn.POISSON.DIST(BC$1,$B19,FALSE)+(1-$B19/BC$1)*_xlfn.POISSON.DIST(BC$1-1,$B19,TRUE))*EXP(-(BC$1-$B19)*'Staffing Calculator'!$B$5/'Staffing Calculator'!$B$6))</f>
        <v/>
      </c>
      <c r="BD19" s="56">
        <f>IF(BD$1&lt;=$B19,0,1-_xlfn.POISSON.DIST(BD$1,$B19,FALSE)/(_xlfn.POISSON.DIST(BD$1,$B19,FALSE)+(1-$B19/BD$1)*_xlfn.POISSON.DIST(BD$1-1,$B19,TRUE))*EXP(-(BD$1-$B19)*'Staffing Calculator'!$B$5/'Staffing Calculator'!$B$6))</f>
        <v/>
      </c>
      <c r="BE19" s="56">
        <f>IF(BE$1&lt;=$B19,0,1-_xlfn.POISSON.DIST(BE$1,$B19,FALSE)/(_xlfn.POISSON.DIST(BE$1,$B19,FALSE)+(1-$B19/BE$1)*_xlfn.POISSON.DIST(BE$1-1,$B19,TRUE))*EXP(-(BE$1-$B19)*'Staffing Calculator'!$B$5/'Staffing Calculator'!$B$6))</f>
        <v/>
      </c>
      <c r="BF19" s="56">
        <f>IF(BF$1&lt;=$B19,0,1-_xlfn.POISSON.DIST(BF$1,$B19,FALSE)/(_xlfn.POISSON.DIST(BF$1,$B19,FALSE)+(1-$B19/BF$1)*_xlfn.POISSON.DIST(BF$1-1,$B19,TRUE))*EXP(-(BF$1-$B19)*'Staffing Calculator'!$B$5/'Staffing Calculator'!$B$6))</f>
        <v/>
      </c>
      <c r="BG19" s="56">
        <f>IF(BG$1&lt;=$B19,0,1-_xlfn.POISSON.DIST(BG$1,$B19,FALSE)/(_xlfn.POISSON.DIST(BG$1,$B19,FALSE)+(1-$B19/BG$1)*_xlfn.POISSON.DIST(BG$1-1,$B19,TRUE))*EXP(-(BG$1-$B19)*'Staffing Calculator'!$B$5/'Staffing Calculator'!$B$6))</f>
        <v/>
      </c>
      <c r="BH19" s="56">
        <f>IF(BH$1&lt;=$B19,0,1-_xlfn.POISSON.DIST(BH$1,$B19,FALSE)/(_xlfn.POISSON.DIST(BH$1,$B19,FALSE)+(1-$B19/BH$1)*_xlfn.POISSON.DIST(BH$1-1,$B19,TRUE))*EXP(-(BH$1-$B19)*'Staffing Calculator'!$B$5/'Staffing Calculator'!$B$6))</f>
        <v/>
      </c>
      <c r="BI19" s="56">
        <f>IF(BI$1&lt;=$B19,0,1-_xlfn.POISSON.DIST(BI$1,$B19,FALSE)/(_xlfn.POISSON.DIST(BI$1,$B19,FALSE)+(1-$B19/BI$1)*_xlfn.POISSON.DIST(BI$1-1,$B19,TRUE))*EXP(-(BI$1-$B19)*'Staffing Calculator'!$B$5/'Staffing Calculator'!$B$6))</f>
        <v/>
      </c>
      <c r="BJ19" s="56">
        <f>IF(BJ$1&lt;=$B19,0,1-_xlfn.POISSON.DIST(BJ$1,$B19,FALSE)/(_xlfn.POISSON.DIST(BJ$1,$B19,FALSE)+(1-$B19/BJ$1)*_xlfn.POISSON.DIST(BJ$1-1,$B19,TRUE))*EXP(-(BJ$1-$B19)*'Staffing Calculator'!$B$5/'Staffing Calculator'!$B$6))</f>
        <v/>
      </c>
    </row>
    <row r="20">
      <c r="A20" s="54">
        <f>'Staffing Calculator'!A20</f>
        <v/>
      </c>
      <c r="B20" s="55">
        <f>'Staffing Calculator'!C20</f>
        <v/>
      </c>
      <c r="C20" s="56">
        <f>IF(C$1&lt;=$B20,0,1-_xlfn.POISSON.DIST(C$1,$B20,FALSE)/(_xlfn.POISSON.DIST(C$1,$B20,FALSE)+(1-$B20/C$1)*_xlfn.POISSON.DIST(C$1-1,$B20,TRUE))*EXP(-(C$1-$B20)*'Staffing Calculator'!$B$5/'Staffing Calculator'!$B$6))</f>
        <v/>
      </c>
      <c r="D20" s="56">
        <f>IF(D$1&lt;=$B20,0,1-_xlfn.POISSON.DIST(D$1,$B20,FALSE)/(_xlfn.POISSON.DIST(D$1,$B20,FALSE)+(1-$B20/D$1)*_xlfn.POISSON.DIST(D$1-1,$B20,TRUE))*EXP(-(D$1-$B20)*'Staffing Calculator'!$B$5/'Staffing Calculator'!$B$6))</f>
        <v/>
      </c>
      <c r="E20" s="56">
        <f>IF(E$1&lt;=$B20,0,1-_xlfn.POISSON.DIST(E$1,$B20,FALSE)/(_xlfn.POISSON.DIST(E$1,$B20,FALSE)+(1-$B20/E$1)*_xlfn.POISSON.DIST(E$1-1,$B20,TRUE))*EXP(-(E$1-$B20)*'Staffing Calculator'!$B$5/'Staffing Calculator'!$B$6))</f>
        <v/>
      </c>
      <c r="F20" s="56">
        <f>IF(F$1&lt;=$B20,0,1-_xlfn.POISSON.DIST(F$1,$B20,FALSE)/(_xlfn.POISSON.DIST(F$1,$B20,FALSE)+(1-$B20/F$1)*_xlfn.POISSON.DIST(F$1-1,$B20,TRUE))*EXP(-(F$1-$B20)*'Staffing Calculator'!$B$5/'Staffing Calculator'!$B$6))</f>
        <v/>
      </c>
      <c r="G20" s="56">
        <f>IF(G$1&lt;=$B20,0,1-_xlfn.POISSON.DIST(G$1,$B20,FALSE)/(_xlfn.POISSON.DIST(G$1,$B20,FALSE)+(1-$B20/G$1)*_xlfn.POISSON.DIST(G$1-1,$B20,TRUE))*EXP(-(G$1-$B20)*'Staffing Calculator'!$B$5/'Staffing Calculator'!$B$6))</f>
        <v/>
      </c>
      <c r="H20" s="56">
        <f>IF(H$1&lt;=$B20,0,1-_xlfn.POISSON.DIST(H$1,$B20,FALSE)/(_xlfn.POISSON.DIST(H$1,$B20,FALSE)+(1-$B20/H$1)*_xlfn.POISSON.DIST(H$1-1,$B20,TRUE))*EXP(-(H$1-$B20)*'Staffing Calculator'!$B$5/'Staffing Calculator'!$B$6))</f>
        <v/>
      </c>
      <c r="I20" s="56">
        <f>IF(I$1&lt;=$B20,0,1-_xlfn.POISSON.DIST(I$1,$B20,FALSE)/(_xlfn.POISSON.DIST(I$1,$B20,FALSE)+(1-$B20/I$1)*_xlfn.POISSON.DIST(I$1-1,$B20,TRUE))*EXP(-(I$1-$B20)*'Staffing Calculator'!$B$5/'Staffing Calculator'!$B$6))</f>
        <v/>
      </c>
      <c r="J20" s="56">
        <f>IF(J$1&lt;=$B20,0,1-_xlfn.POISSON.DIST(J$1,$B20,FALSE)/(_xlfn.POISSON.DIST(J$1,$B20,FALSE)+(1-$B20/J$1)*_xlfn.POISSON.DIST(J$1-1,$B20,TRUE))*EXP(-(J$1-$B20)*'Staffing Calculator'!$B$5/'Staffing Calculator'!$B$6))</f>
        <v/>
      </c>
      <c r="K20" s="56">
        <f>IF(K$1&lt;=$B20,0,1-_xlfn.POISSON.DIST(K$1,$B20,FALSE)/(_xlfn.POISSON.DIST(K$1,$B20,FALSE)+(1-$B20/K$1)*_xlfn.POISSON.DIST(K$1-1,$B20,TRUE))*EXP(-(K$1-$B20)*'Staffing Calculator'!$B$5/'Staffing Calculator'!$B$6))</f>
        <v/>
      </c>
      <c r="L20" s="56">
        <f>IF(L$1&lt;=$B20,0,1-_xlfn.POISSON.DIST(L$1,$B20,FALSE)/(_xlfn.POISSON.DIST(L$1,$B20,FALSE)+(1-$B20/L$1)*_xlfn.POISSON.DIST(L$1-1,$B20,TRUE))*EXP(-(L$1-$B20)*'Staffing Calculator'!$B$5/'Staffing Calculator'!$B$6))</f>
        <v/>
      </c>
      <c r="M20" s="56">
        <f>IF(M$1&lt;=$B20,0,1-_xlfn.POISSON.DIST(M$1,$B20,FALSE)/(_xlfn.POISSON.DIST(M$1,$B20,FALSE)+(1-$B20/M$1)*_xlfn.POISSON.DIST(M$1-1,$B20,TRUE))*EXP(-(M$1-$B20)*'Staffing Calculator'!$B$5/'Staffing Calculator'!$B$6))</f>
        <v/>
      </c>
      <c r="N20" s="56">
        <f>IF(N$1&lt;=$B20,0,1-_xlfn.POISSON.DIST(N$1,$B20,FALSE)/(_xlfn.POISSON.DIST(N$1,$B20,FALSE)+(1-$B20/N$1)*_xlfn.POISSON.DIST(N$1-1,$B20,TRUE))*EXP(-(N$1-$B20)*'Staffing Calculator'!$B$5/'Staffing Calculator'!$B$6))</f>
        <v/>
      </c>
      <c r="O20" s="56">
        <f>IF(O$1&lt;=$B20,0,1-_xlfn.POISSON.DIST(O$1,$B20,FALSE)/(_xlfn.POISSON.DIST(O$1,$B20,FALSE)+(1-$B20/O$1)*_xlfn.POISSON.DIST(O$1-1,$B20,TRUE))*EXP(-(O$1-$B20)*'Staffing Calculator'!$B$5/'Staffing Calculator'!$B$6))</f>
        <v/>
      </c>
      <c r="P20" s="56">
        <f>IF(P$1&lt;=$B20,0,1-_xlfn.POISSON.DIST(P$1,$B20,FALSE)/(_xlfn.POISSON.DIST(P$1,$B20,FALSE)+(1-$B20/P$1)*_xlfn.POISSON.DIST(P$1-1,$B20,TRUE))*EXP(-(P$1-$B20)*'Staffing Calculator'!$B$5/'Staffing Calculator'!$B$6))</f>
        <v/>
      </c>
      <c r="Q20" s="56">
        <f>IF(Q$1&lt;=$B20,0,1-_xlfn.POISSON.DIST(Q$1,$B20,FALSE)/(_xlfn.POISSON.DIST(Q$1,$B20,FALSE)+(1-$B20/Q$1)*_xlfn.POISSON.DIST(Q$1-1,$B20,TRUE))*EXP(-(Q$1-$B20)*'Staffing Calculator'!$B$5/'Staffing Calculator'!$B$6))</f>
        <v/>
      </c>
      <c r="R20" s="56">
        <f>IF(R$1&lt;=$B20,0,1-_xlfn.POISSON.DIST(R$1,$B20,FALSE)/(_xlfn.POISSON.DIST(R$1,$B20,FALSE)+(1-$B20/R$1)*_xlfn.POISSON.DIST(R$1-1,$B20,TRUE))*EXP(-(R$1-$B20)*'Staffing Calculator'!$B$5/'Staffing Calculator'!$B$6))</f>
        <v/>
      </c>
      <c r="S20" s="56">
        <f>IF(S$1&lt;=$B20,0,1-_xlfn.POISSON.DIST(S$1,$B20,FALSE)/(_xlfn.POISSON.DIST(S$1,$B20,FALSE)+(1-$B20/S$1)*_xlfn.POISSON.DIST(S$1-1,$B20,TRUE))*EXP(-(S$1-$B20)*'Staffing Calculator'!$B$5/'Staffing Calculator'!$B$6))</f>
        <v/>
      </c>
      <c r="T20" s="56">
        <f>IF(T$1&lt;=$B20,0,1-_xlfn.POISSON.DIST(T$1,$B20,FALSE)/(_xlfn.POISSON.DIST(T$1,$B20,FALSE)+(1-$B20/T$1)*_xlfn.POISSON.DIST(T$1-1,$B20,TRUE))*EXP(-(T$1-$B20)*'Staffing Calculator'!$B$5/'Staffing Calculator'!$B$6))</f>
        <v/>
      </c>
      <c r="U20" s="56">
        <f>IF(U$1&lt;=$B20,0,1-_xlfn.POISSON.DIST(U$1,$B20,FALSE)/(_xlfn.POISSON.DIST(U$1,$B20,FALSE)+(1-$B20/U$1)*_xlfn.POISSON.DIST(U$1-1,$B20,TRUE))*EXP(-(U$1-$B20)*'Staffing Calculator'!$B$5/'Staffing Calculator'!$B$6))</f>
        <v/>
      </c>
      <c r="V20" s="56">
        <f>IF(V$1&lt;=$B20,0,1-_xlfn.POISSON.DIST(V$1,$B20,FALSE)/(_xlfn.POISSON.DIST(V$1,$B20,FALSE)+(1-$B20/V$1)*_xlfn.POISSON.DIST(V$1-1,$B20,TRUE))*EXP(-(V$1-$B20)*'Staffing Calculator'!$B$5/'Staffing Calculator'!$B$6))</f>
        <v/>
      </c>
      <c r="W20" s="56">
        <f>IF(W$1&lt;=$B20,0,1-_xlfn.POISSON.DIST(W$1,$B20,FALSE)/(_xlfn.POISSON.DIST(W$1,$B20,FALSE)+(1-$B20/W$1)*_xlfn.POISSON.DIST(W$1-1,$B20,TRUE))*EXP(-(W$1-$B20)*'Staffing Calculator'!$B$5/'Staffing Calculator'!$B$6))</f>
        <v/>
      </c>
      <c r="X20" s="56">
        <f>IF(X$1&lt;=$B20,0,1-_xlfn.POISSON.DIST(X$1,$B20,FALSE)/(_xlfn.POISSON.DIST(X$1,$B20,FALSE)+(1-$B20/X$1)*_xlfn.POISSON.DIST(X$1-1,$B20,TRUE))*EXP(-(X$1-$B20)*'Staffing Calculator'!$B$5/'Staffing Calculator'!$B$6))</f>
        <v/>
      </c>
      <c r="Y20" s="56">
        <f>IF(Y$1&lt;=$B20,0,1-_xlfn.POISSON.DIST(Y$1,$B20,FALSE)/(_xlfn.POISSON.DIST(Y$1,$B20,FALSE)+(1-$B20/Y$1)*_xlfn.POISSON.DIST(Y$1-1,$B20,TRUE))*EXP(-(Y$1-$B20)*'Staffing Calculator'!$B$5/'Staffing Calculator'!$B$6))</f>
        <v/>
      </c>
      <c r="Z20" s="56">
        <f>IF(Z$1&lt;=$B20,0,1-_xlfn.POISSON.DIST(Z$1,$B20,FALSE)/(_xlfn.POISSON.DIST(Z$1,$B20,FALSE)+(1-$B20/Z$1)*_xlfn.POISSON.DIST(Z$1-1,$B20,TRUE))*EXP(-(Z$1-$B20)*'Staffing Calculator'!$B$5/'Staffing Calculator'!$B$6))</f>
        <v/>
      </c>
      <c r="AA20" s="56">
        <f>IF(AA$1&lt;=$B20,0,1-_xlfn.POISSON.DIST(AA$1,$B20,FALSE)/(_xlfn.POISSON.DIST(AA$1,$B20,FALSE)+(1-$B20/AA$1)*_xlfn.POISSON.DIST(AA$1-1,$B20,TRUE))*EXP(-(AA$1-$B20)*'Staffing Calculator'!$B$5/'Staffing Calculator'!$B$6))</f>
        <v/>
      </c>
      <c r="AB20" s="56">
        <f>IF(AB$1&lt;=$B20,0,1-_xlfn.POISSON.DIST(AB$1,$B20,FALSE)/(_xlfn.POISSON.DIST(AB$1,$B20,FALSE)+(1-$B20/AB$1)*_xlfn.POISSON.DIST(AB$1-1,$B20,TRUE))*EXP(-(AB$1-$B20)*'Staffing Calculator'!$B$5/'Staffing Calculator'!$B$6))</f>
        <v/>
      </c>
      <c r="AC20" s="56">
        <f>IF(AC$1&lt;=$B20,0,1-_xlfn.POISSON.DIST(AC$1,$B20,FALSE)/(_xlfn.POISSON.DIST(AC$1,$B20,FALSE)+(1-$B20/AC$1)*_xlfn.POISSON.DIST(AC$1-1,$B20,TRUE))*EXP(-(AC$1-$B20)*'Staffing Calculator'!$B$5/'Staffing Calculator'!$B$6))</f>
        <v/>
      </c>
      <c r="AD20" s="56">
        <f>IF(AD$1&lt;=$B20,0,1-_xlfn.POISSON.DIST(AD$1,$B20,FALSE)/(_xlfn.POISSON.DIST(AD$1,$B20,FALSE)+(1-$B20/AD$1)*_xlfn.POISSON.DIST(AD$1-1,$B20,TRUE))*EXP(-(AD$1-$B20)*'Staffing Calculator'!$B$5/'Staffing Calculator'!$B$6))</f>
        <v/>
      </c>
      <c r="AE20" s="56">
        <f>IF(AE$1&lt;=$B20,0,1-_xlfn.POISSON.DIST(AE$1,$B20,FALSE)/(_xlfn.POISSON.DIST(AE$1,$B20,FALSE)+(1-$B20/AE$1)*_xlfn.POISSON.DIST(AE$1-1,$B20,TRUE))*EXP(-(AE$1-$B20)*'Staffing Calculator'!$B$5/'Staffing Calculator'!$B$6))</f>
        <v/>
      </c>
      <c r="AF20" s="56">
        <f>IF(AF$1&lt;=$B20,0,1-_xlfn.POISSON.DIST(AF$1,$B20,FALSE)/(_xlfn.POISSON.DIST(AF$1,$B20,FALSE)+(1-$B20/AF$1)*_xlfn.POISSON.DIST(AF$1-1,$B20,TRUE))*EXP(-(AF$1-$B20)*'Staffing Calculator'!$B$5/'Staffing Calculator'!$B$6))</f>
        <v/>
      </c>
      <c r="AG20" s="56">
        <f>IF(AG$1&lt;=$B20,0,1-_xlfn.POISSON.DIST(AG$1,$B20,FALSE)/(_xlfn.POISSON.DIST(AG$1,$B20,FALSE)+(1-$B20/AG$1)*_xlfn.POISSON.DIST(AG$1-1,$B20,TRUE))*EXP(-(AG$1-$B20)*'Staffing Calculator'!$B$5/'Staffing Calculator'!$B$6))</f>
        <v/>
      </c>
      <c r="AH20" s="56">
        <f>IF(AH$1&lt;=$B20,0,1-_xlfn.POISSON.DIST(AH$1,$B20,FALSE)/(_xlfn.POISSON.DIST(AH$1,$B20,FALSE)+(1-$B20/AH$1)*_xlfn.POISSON.DIST(AH$1-1,$B20,TRUE))*EXP(-(AH$1-$B20)*'Staffing Calculator'!$B$5/'Staffing Calculator'!$B$6))</f>
        <v/>
      </c>
      <c r="AI20" s="56">
        <f>IF(AI$1&lt;=$B20,0,1-_xlfn.POISSON.DIST(AI$1,$B20,FALSE)/(_xlfn.POISSON.DIST(AI$1,$B20,FALSE)+(1-$B20/AI$1)*_xlfn.POISSON.DIST(AI$1-1,$B20,TRUE))*EXP(-(AI$1-$B20)*'Staffing Calculator'!$B$5/'Staffing Calculator'!$B$6))</f>
        <v/>
      </c>
      <c r="AJ20" s="56">
        <f>IF(AJ$1&lt;=$B20,0,1-_xlfn.POISSON.DIST(AJ$1,$B20,FALSE)/(_xlfn.POISSON.DIST(AJ$1,$B20,FALSE)+(1-$B20/AJ$1)*_xlfn.POISSON.DIST(AJ$1-1,$B20,TRUE))*EXP(-(AJ$1-$B20)*'Staffing Calculator'!$B$5/'Staffing Calculator'!$B$6))</f>
        <v/>
      </c>
      <c r="AK20" s="56">
        <f>IF(AK$1&lt;=$B20,0,1-_xlfn.POISSON.DIST(AK$1,$B20,FALSE)/(_xlfn.POISSON.DIST(AK$1,$B20,FALSE)+(1-$B20/AK$1)*_xlfn.POISSON.DIST(AK$1-1,$B20,TRUE))*EXP(-(AK$1-$B20)*'Staffing Calculator'!$B$5/'Staffing Calculator'!$B$6))</f>
        <v/>
      </c>
      <c r="AL20" s="56">
        <f>IF(AL$1&lt;=$B20,0,1-_xlfn.POISSON.DIST(AL$1,$B20,FALSE)/(_xlfn.POISSON.DIST(AL$1,$B20,FALSE)+(1-$B20/AL$1)*_xlfn.POISSON.DIST(AL$1-1,$B20,TRUE))*EXP(-(AL$1-$B20)*'Staffing Calculator'!$B$5/'Staffing Calculator'!$B$6))</f>
        <v/>
      </c>
      <c r="AM20" s="56">
        <f>IF(AM$1&lt;=$B20,0,1-_xlfn.POISSON.DIST(AM$1,$B20,FALSE)/(_xlfn.POISSON.DIST(AM$1,$B20,FALSE)+(1-$B20/AM$1)*_xlfn.POISSON.DIST(AM$1-1,$B20,TRUE))*EXP(-(AM$1-$B20)*'Staffing Calculator'!$B$5/'Staffing Calculator'!$B$6))</f>
        <v/>
      </c>
      <c r="AN20" s="56">
        <f>IF(AN$1&lt;=$B20,0,1-_xlfn.POISSON.DIST(AN$1,$B20,FALSE)/(_xlfn.POISSON.DIST(AN$1,$B20,FALSE)+(1-$B20/AN$1)*_xlfn.POISSON.DIST(AN$1-1,$B20,TRUE))*EXP(-(AN$1-$B20)*'Staffing Calculator'!$B$5/'Staffing Calculator'!$B$6))</f>
        <v/>
      </c>
      <c r="AO20" s="56">
        <f>IF(AO$1&lt;=$B20,0,1-_xlfn.POISSON.DIST(AO$1,$B20,FALSE)/(_xlfn.POISSON.DIST(AO$1,$B20,FALSE)+(1-$B20/AO$1)*_xlfn.POISSON.DIST(AO$1-1,$B20,TRUE))*EXP(-(AO$1-$B20)*'Staffing Calculator'!$B$5/'Staffing Calculator'!$B$6))</f>
        <v/>
      </c>
      <c r="AP20" s="56">
        <f>IF(AP$1&lt;=$B20,0,1-_xlfn.POISSON.DIST(AP$1,$B20,FALSE)/(_xlfn.POISSON.DIST(AP$1,$B20,FALSE)+(1-$B20/AP$1)*_xlfn.POISSON.DIST(AP$1-1,$B20,TRUE))*EXP(-(AP$1-$B20)*'Staffing Calculator'!$B$5/'Staffing Calculator'!$B$6))</f>
        <v/>
      </c>
      <c r="AQ20" s="56">
        <f>IF(AQ$1&lt;=$B20,0,1-_xlfn.POISSON.DIST(AQ$1,$B20,FALSE)/(_xlfn.POISSON.DIST(AQ$1,$B20,FALSE)+(1-$B20/AQ$1)*_xlfn.POISSON.DIST(AQ$1-1,$B20,TRUE))*EXP(-(AQ$1-$B20)*'Staffing Calculator'!$B$5/'Staffing Calculator'!$B$6))</f>
        <v/>
      </c>
      <c r="AR20" s="56">
        <f>IF(AR$1&lt;=$B20,0,1-_xlfn.POISSON.DIST(AR$1,$B20,FALSE)/(_xlfn.POISSON.DIST(AR$1,$B20,FALSE)+(1-$B20/AR$1)*_xlfn.POISSON.DIST(AR$1-1,$B20,TRUE))*EXP(-(AR$1-$B20)*'Staffing Calculator'!$B$5/'Staffing Calculator'!$B$6))</f>
        <v/>
      </c>
      <c r="AS20" s="56">
        <f>IF(AS$1&lt;=$B20,0,1-_xlfn.POISSON.DIST(AS$1,$B20,FALSE)/(_xlfn.POISSON.DIST(AS$1,$B20,FALSE)+(1-$B20/AS$1)*_xlfn.POISSON.DIST(AS$1-1,$B20,TRUE))*EXP(-(AS$1-$B20)*'Staffing Calculator'!$B$5/'Staffing Calculator'!$B$6))</f>
        <v/>
      </c>
      <c r="AT20" s="56">
        <f>IF(AT$1&lt;=$B20,0,1-_xlfn.POISSON.DIST(AT$1,$B20,FALSE)/(_xlfn.POISSON.DIST(AT$1,$B20,FALSE)+(1-$B20/AT$1)*_xlfn.POISSON.DIST(AT$1-1,$B20,TRUE))*EXP(-(AT$1-$B20)*'Staffing Calculator'!$B$5/'Staffing Calculator'!$B$6))</f>
        <v/>
      </c>
      <c r="AU20" s="56">
        <f>IF(AU$1&lt;=$B20,0,1-_xlfn.POISSON.DIST(AU$1,$B20,FALSE)/(_xlfn.POISSON.DIST(AU$1,$B20,FALSE)+(1-$B20/AU$1)*_xlfn.POISSON.DIST(AU$1-1,$B20,TRUE))*EXP(-(AU$1-$B20)*'Staffing Calculator'!$B$5/'Staffing Calculator'!$B$6))</f>
        <v/>
      </c>
      <c r="AV20" s="56">
        <f>IF(AV$1&lt;=$B20,0,1-_xlfn.POISSON.DIST(AV$1,$B20,FALSE)/(_xlfn.POISSON.DIST(AV$1,$B20,FALSE)+(1-$B20/AV$1)*_xlfn.POISSON.DIST(AV$1-1,$B20,TRUE))*EXP(-(AV$1-$B20)*'Staffing Calculator'!$B$5/'Staffing Calculator'!$B$6))</f>
        <v/>
      </c>
      <c r="AW20" s="56">
        <f>IF(AW$1&lt;=$B20,0,1-_xlfn.POISSON.DIST(AW$1,$B20,FALSE)/(_xlfn.POISSON.DIST(AW$1,$B20,FALSE)+(1-$B20/AW$1)*_xlfn.POISSON.DIST(AW$1-1,$B20,TRUE))*EXP(-(AW$1-$B20)*'Staffing Calculator'!$B$5/'Staffing Calculator'!$B$6))</f>
        <v/>
      </c>
      <c r="AX20" s="56">
        <f>IF(AX$1&lt;=$B20,0,1-_xlfn.POISSON.DIST(AX$1,$B20,FALSE)/(_xlfn.POISSON.DIST(AX$1,$B20,FALSE)+(1-$B20/AX$1)*_xlfn.POISSON.DIST(AX$1-1,$B20,TRUE))*EXP(-(AX$1-$B20)*'Staffing Calculator'!$B$5/'Staffing Calculator'!$B$6))</f>
        <v/>
      </c>
      <c r="AY20" s="56">
        <f>IF(AY$1&lt;=$B20,0,1-_xlfn.POISSON.DIST(AY$1,$B20,FALSE)/(_xlfn.POISSON.DIST(AY$1,$B20,FALSE)+(1-$B20/AY$1)*_xlfn.POISSON.DIST(AY$1-1,$B20,TRUE))*EXP(-(AY$1-$B20)*'Staffing Calculator'!$B$5/'Staffing Calculator'!$B$6))</f>
        <v/>
      </c>
      <c r="AZ20" s="56">
        <f>IF(AZ$1&lt;=$B20,0,1-_xlfn.POISSON.DIST(AZ$1,$B20,FALSE)/(_xlfn.POISSON.DIST(AZ$1,$B20,FALSE)+(1-$B20/AZ$1)*_xlfn.POISSON.DIST(AZ$1-1,$B20,TRUE))*EXP(-(AZ$1-$B20)*'Staffing Calculator'!$B$5/'Staffing Calculator'!$B$6))</f>
        <v/>
      </c>
      <c r="BA20" s="56">
        <f>IF(BA$1&lt;=$B20,0,1-_xlfn.POISSON.DIST(BA$1,$B20,FALSE)/(_xlfn.POISSON.DIST(BA$1,$B20,FALSE)+(1-$B20/BA$1)*_xlfn.POISSON.DIST(BA$1-1,$B20,TRUE))*EXP(-(BA$1-$B20)*'Staffing Calculator'!$B$5/'Staffing Calculator'!$B$6))</f>
        <v/>
      </c>
      <c r="BB20" s="56">
        <f>IF(BB$1&lt;=$B20,0,1-_xlfn.POISSON.DIST(BB$1,$B20,FALSE)/(_xlfn.POISSON.DIST(BB$1,$B20,FALSE)+(1-$B20/BB$1)*_xlfn.POISSON.DIST(BB$1-1,$B20,TRUE))*EXP(-(BB$1-$B20)*'Staffing Calculator'!$B$5/'Staffing Calculator'!$B$6))</f>
        <v/>
      </c>
      <c r="BC20" s="56">
        <f>IF(BC$1&lt;=$B20,0,1-_xlfn.POISSON.DIST(BC$1,$B20,FALSE)/(_xlfn.POISSON.DIST(BC$1,$B20,FALSE)+(1-$B20/BC$1)*_xlfn.POISSON.DIST(BC$1-1,$B20,TRUE))*EXP(-(BC$1-$B20)*'Staffing Calculator'!$B$5/'Staffing Calculator'!$B$6))</f>
        <v/>
      </c>
      <c r="BD20" s="56">
        <f>IF(BD$1&lt;=$B20,0,1-_xlfn.POISSON.DIST(BD$1,$B20,FALSE)/(_xlfn.POISSON.DIST(BD$1,$B20,FALSE)+(1-$B20/BD$1)*_xlfn.POISSON.DIST(BD$1-1,$B20,TRUE))*EXP(-(BD$1-$B20)*'Staffing Calculator'!$B$5/'Staffing Calculator'!$B$6))</f>
        <v/>
      </c>
      <c r="BE20" s="56">
        <f>IF(BE$1&lt;=$B20,0,1-_xlfn.POISSON.DIST(BE$1,$B20,FALSE)/(_xlfn.POISSON.DIST(BE$1,$B20,FALSE)+(1-$B20/BE$1)*_xlfn.POISSON.DIST(BE$1-1,$B20,TRUE))*EXP(-(BE$1-$B20)*'Staffing Calculator'!$B$5/'Staffing Calculator'!$B$6))</f>
        <v/>
      </c>
      <c r="BF20" s="56">
        <f>IF(BF$1&lt;=$B20,0,1-_xlfn.POISSON.DIST(BF$1,$B20,FALSE)/(_xlfn.POISSON.DIST(BF$1,$B20,FALSE)+(1-$B20/BF$1)*_xlfn.POISSON.DIST(BF$1-1,$B20,TRUE))*EXP(-(BF$1-$B20)*'Staffing Calculator'!$B$5/'Staffing Calculator'!$B$6))</f>
        <v/>
      </c>
      <c r="BG20" s="56">
        <f>IF(BG$1&lt;=$B20,0,1-_xlfn.POISSON.DIST(BG$1,$B20,FALSE)/(_xlfn.POISSON.DIST(BG$1,$B20,FALSE)+(1-$B20/BG$1)*_xlfn.POISSON.DIST(BG$1-1,$B20,TRUE))*EXP(-(BG$1-$B20)*'Staffing Calculator'!$B$5/'Staffing Calculator'!$B$6))</f>
        <v/>
      </c>
      <c r="BH20" s="56">
        <f>IF(BH$1&lt;=$B20,0,1-_xlfn.POISSON.DIST(BH$1,$B20,FALSE)/(_xlfn.POISSON.DIST(BH$1,$B20,FALSE)+(1-$B20/BH$1)*_xlfn.POISSON.DIST(BH$1-1,$B20,TRUE))*EXP(-(BH$1-$B20)*'Staffing Calculator'!$B$5/'Staffing Calculator'!$B$6))</f>
        <v/>
      </c>
      <c r="BI20" s="56">
        <f>IF(BI$1&lt;=$B20,0,1-_xlfn.POISSON.DIST(BI$1,$B20,FALSE)/(_xlfn.POISSON.DIST(BI$1,$B20,FALSE)+(1-$B20/BI$1)*_xlfn.POISSON.DIST(BI$1-1,$B20,TRUE))*EXP(-(BI$1-$B20)*'Staffing Calculator'!$B$5/'Staffing Calculator'!$B$6))</f>
        <v/>
      </c>
      <c r="BJ20" s="56">
        <f>IF(BJ$1&lt;=$B20,0,1-_xlfn.POISSON.DIST(BJ$1,$B20,FALSE)/(_xlfn.POISSON.DIST(BJ$1,$B20,FALSE)+(1-$B20/BJ$1)*_xlfn.POISSON.DIST(BJ$1-1,$B20,TRUE))*EXP(-(BJ$1-$B20)*'Staffing Calculator'!$B$5/'Staffing Calculator'!$B$6))</f>
        <v/>
      </c>
    </row>
    <row r="21">
      <c r="A21" s="54">
        <f>'Staffing Calculator'!A21</f>
        <v/>
      </c>
      <c r="B21" s="55">
        <f>'Staffing Calculator'!C21</f>
        <v/>
      </c>
      <c r="C21" s="56">
        <f>IF(C$1&lt;=$B21,0,1-_xlfn.POISSON.DIST(C$1,$B21,FALSE)/(_xlfn.POISSON.DIST(C$1,$B21,FALSE)+(1-$B21/C$1)*_xlfn.POISSON.DIST(C$1-1,$B21,TRUE))*EXP(-(C$1-$B21)*'Staffing Calculator'!$B$5/'Staffing Calculator'!$B$6))</f>
        <v/>
      </c>
      <c r="D21" s="56">
        <f>IF(D$1&lt;=$B21,0,1-_xlfn.POISSON.DIST(D$1,$B21,FALSE)/(_xlfn.POISSON.DIST(D$1,$B21,FALSE)+(1-$B21/D$1)*_xlfn.POISSON.DIST(D$1-1,$B21,TRUE))*EXP(-(D$1-$B21)*'Staffing Calculator'!$B$5/'Staffing Calculator'!$B$6))</f>
        <v/>
      </c>
      <c r="E21" s="56">
        <f>IF(E$1&lt;=$B21,0,1-_xlfn.POISSON.DIST(E$1,$B21,FALSE)/(_xlfn.POISSON.DIST(E$1,$B21,FALSE)+(1-$B21/E$1)*_xlfn.POISSON.DIST(E$1-1,$B21,TRUE))*EXP(-(E$1-$B21)*'Staffing Calculator'!$B$5/'Staffing Calculator'!$B$6))</f>
        <v/>
      </c>
      <c r="F21" s="56">
        <f>IF(F$1&lt;=$B21,0,1-_xlfn.POISSON.DIST(F$1,$B21,FALSE)/(_xlfn.POISSON.DIST(F$1,$B21,FALSE)+(1-$B21/F$1)*_xlfn.POISSON.DIST(F$1-1,$B21,TRUE))*EXP(-(F$1-$B21)*'Staffing Calculator'!$B$5/'Staffing Calculator'!$B$6))</f>
        <v/>
      </c>
      <c r="G21" s="56">
        <f>IF(G$1&lt;=$B21,0,1-_xlfn.POISSON.DIST(G$1,$B21,FALSE)/(_xlfn.POISSON.DIST(G$1,$B21,FALSE)+(1-$B21/G$1)*_xlfn.POISSON.DIST(G$1-1,$B21,TRUE))*EXP(-(G$1-$B21)*'Staffing Calculator'!$B$5/'Staffing Calculator'!$B$6))</f>
        <v/>
      </c>
      <c r="H21" s="56">
        <f>IF(H$1&lt;=$B21,0,1-_xlfn.POISSON.DIST(H$1,$B21,FALSE)/(_xlfn.POISSON.DIST(H$1,$B21,FALSE)+(1-$B21/H$1)*_xlfn.POISSON.DIST(H$1-1,$B21,TRUE))*EXP(-(H$1-$B21)*'Staffing Calculator'!$B$5/'Staffing Calculator'!$B$6))</f>
        <v/>
      </c>
      <c r="I21" s="56">
        <f>IF(I$1&lt;=$B21,0,1-_xlfn.POISSON.DIST(I$1,$B21,FALSE)/(_xlfn.POISSON.DIST(I$1,$B21,FALSE)+(1-$B21/I$1)*_xlfn.POISSON.DIST(I$1-1,$B21,TRUE))*EXP(-(I$1-$B21)*'Staffing Calculator'!$B$5/'Staffing Calculator'!$B$6))</f>
        <v/>
      </c>
      <c r="J21" s="56">
        <f>IF(J$1&lt;=$B21,0,1-_xlfn.POISSON.DIST(J$1,$B21,FALSE)/(_xlfn.POISSON.DIST(J$1,$B21,FALSE)+(1-$B21/J$1)*_xlfn.POISSON.DIST(J$1-1,$B21,TRUE))*EXP(-(J$1-$B21)*'Staffing Calculator'!$B$5/'Staffing Calculator'!$B$6))</f>
        <v/>
      </c>
      <c r="K21" s="56">
        <f>IF(K$1&lt;=$B21,0,1-_xlfn.POISSON.DIST(K$1,$B21,FALSE)/(_xlfn.POISSON.DIST(K$1,$B21,FALSE)+(1-$B21/K$1)*_xlfn.POISSON.DIST(K$1-1,$B21,TRUE))*EXP(-(K$1-$B21)*'Staffing Calculator'!$B$5/'Staffing Calculator'!$B$6))</f>
        <v/>
      </c>
      <c r="L21" s="56">
        <f>IF(L$1&lt;=$B21,0,1-_xlfn.POISSON.DIST(L$1,$B21,FALSE)/(_xlfn.POISSON.DIST(L$1,$B21,FALSE)+(1-$B21/L$1)*_xlfn.POISSON.DIST(L$1-1,$B21,TRUE))*EXP(-(L$1-$B21)*'Staffing Calculator'!$B$5/'Staffing Calculator'!$B$6))</f>
        <v/>
      </c>
      <c r="M21" s="56">
        <f>IF(M$1&lt;=$B21,0,1-_xlfn.POISSON.DIST(M$1,$B21,FALSE)/(_xlfn.POISSON.DIST(M$1,$B21,FALSE)+(1-$B21/M$1)*_xlfn.POISSON.DIST(M$1-1,$B21,TRUE))*EXP(-(M$1-$B21)*'Staffing Calculator'!$B$5/'Staffing Calculator'!$B$6))</f>
        <v/>
      </c>
      <c r="N21" s="56">
        <f>IF(N$1&lt;=$B21,0,1-_xlfn.POISSON.DIST(N$1,$B21,FALSE)/(_xlfn.POISSON.DIST(N$1,$B21,FALSE)+(1-$B21/N$1)*_xlfn.POISSON.DIST(N$1-1,$B21,TRUE))*EXP(-(N$1-$B21)*'Staffing Calculator'!$B$5/'Staffing Calculator'!$B$6))</f>
        <v/>
      </c>
      <c r="O21" s="56">
        <f>IF(O$1&lt;=$B21,0,1-_xlfn.POISSON.DIST(O$1,$B21,FALSE)/(_xlfn.POISSON.DIST(O$1,$B21,FALSE)+(1-$B21/O$1)*_xlfn.POISSON.DIST(O$1-1,$B21,TRUE))*EXP(-(O$1-$B21)*'Staffing Calculator'!$B$5/'Staffing Calculator'!$B$6))</f>
        <v/>
      </c>
      <c r="P21" s="56">
        <f>IF(P$1&lt;=$B21,0,1-_xlfn.POISSON.DIST(P$1,$B21,FALSE)/(_xlfn.POISSON.DIST(P$1,$B21,FALSE)+(1-$B21/P$1)*_xlfn.POISSON.DIST(P$1-1,$B21,TRUE))*EXP(-(P$1-$B21)*'Staffing Calculator'!$B$5/'Staffing Calculator'!$B$6))</f>
        <v/>
      </c>
      <c r="Q21" s="56">
        <f>IF(Q$1&lt;=$B21,0,1-_xlfn.POISSON.DIST(Q$1,$B21,FALSE)/(_xlfn.POISSON.DIST(Q$1,$B21,FALSE)+(1-$B21/Q$1)*_xlfn.POISSON.DIST(Q$1-1,$B21,TRUE))*EXP(-(Q$1-$B21)*'Staffing Calculator'!$B$5/'Staffing Calculator'!$B$6))</f>
        <v/>
      </c>
      <c r="R21" s="56">
        <f>IF(R$1&lt;=$B21,0,1-_xlfn.POISSON.DIST(R$1,$B21,FALSE)/(_xlfn.POISSON.DIST(R$1,$B21,FALSE)+(1-$B21/R$1)*_xlfn.POISSON.DIST(R$1-1,$B21,TRUE))*EXP(-(R$1-$B21)*'Staffing Calculator'!$B$5/'Staffing Calculator'!$B$6))</f>
        <v/>
      </c>
      <c r="S21" s="56">
        <f>IF(S$1&lt;=$B21,0,1-_xlfn.POISSON.DIST(S$1,$B21,FALSE)/(_xlfn.POISSON.DIST(S$1,$B21,FALSE)+(1-$B21/S$1)*_xlfn.POISSON.DIST(S$1-1,$B21,TRUE))*EXP(-(S$1-$B21)*'Staffing Calculator'!$B$5/'Staffing Calculator'!$B$6))</f>
        <v/>
      </c>
      <c r="T21" s="56">
        <f>IF(T$1&lt;=$B21,0,1-_xlfn.POISSON.DIST(T$1,$B21,FALSE)/(_xlfn.POISSON.DIST(T$1,$B21,FALSE)+(1-$B21/T$1)*_xlfn.POISSON.DIST(T$1-1,$B21,TRUE))*EXP(-(T$1-$B21)*'Staffing Calculator'!$B$5/'Staffing Calculator'!$B$6))</f>
        <v/>
      </c>
      <c r="U21" s="56">
        <f>IF(U$1&lt;=$B21,0,1-_xlfn.POISSON.DIST(U$1,$B21,FALSE)/(_xlfn.POISSON.DIST(U$1,$B21,FALSE)+(1-$B21/U$1)*_xlfn.POISSON.DIST(U$1-1,$B21,TRUE))*EXP(-(U$1-$B21)*'Staffing Calculator'!$B$5/'Staffing Calculator'!$B$6))</f>
        <v/>
      </c>
      <c r="V21" s="56">
        <f>IF(V$1&lt;=$B21,0,1-_xlfn.POISSON.DIST(V$1,$B21,FALSE)/(_xlfn.POISSON.DIST(V$1,$B21,FALSE)+(1-$B21/V$1)*_xlfn.POISSON.DIST(V$1-1,$B21,TRUE))*EXP(-(V$1-$B21)*'Staffing Calculator'!$B$5/'Staffing Calculator'!$B$6))</f>
        <v/>
      </c>
      <c r="W21" s="56">
        <f>IF(W$1&lt;=$B21,0,1-_xlfn.POISSON.DIST(W$1,$B21,FALSE)/(_xlfn.POISSON.DIST(W$1,$B21,FALSE)+(1-$B21/W$1)*_xlfn.POISSON.DIST(W$1-1,$B21,TRUE))*EXP(-(W$1-$B21)*'Staffing Calculator'!$B$5/'Staffing Calculator'!$B$6))</f>
        <v/>
      </c>
      <c r="X21" s="56">
        <f>IF(X$1&lt;=$B21,0,1-_xlfn.POISSON.DIST(X$1,$B21,FALSE)/(_xlfn.POISSON.DIST(X$1,$B21,FALSE)+(1-$B21/X$1)*_xlfn.POISSON.DIST(X$1-1,$B21,TRUE))*EXP(-(X$1-$B21)*'Staffing Calculator'!$B$5/'Staffing Calculator'!$B$6))</f>
        <v/>
      </c>
      <c r="Y21" s="56">
        <f>IF(Y$1&lt;=$B21,0,1-_xlfn.POISSON.DIST(Y$1,$B21,FALSE)/(_xlfn.POISSON.DIST(Y$1,$B21,FALSE)+(1-$B21/Y$1)*_xlfn.POISSON.DIST(Y$1-1,$B21,TRUE))*EXP(-(Y$1-$B21)*'Staffing Calculator'!$B$5/'Staffing Calculator'!$B$6))</f>
        <v/>
      </c>
      <c r="Z21" s="56">
        <f>IF(Z$1&lt;=$B21,0,1-_xlfn.POISSON.DIST(Z$1,$B21,FALSE)/(_xlfn.POISSON.DIST(Z$1,$B21,FALSE)+(1-$B21/Z$1)*_xlfn.POISSON.DIST(Z$1-1,$B21,TRUE))*EXP(-(Z$1-$B21)*'Staffing Calculator'!$B$5/'Staffing Calculator'!$B$6))</f>
        <v/>
      </c>
      <c r="AA21" s="56">
        <f>IF(AA$1&lt;=$B21,0,1-_xlfn.POISSON.DIST(AA$1,$B21,FALSE)/(_xlfn.POISSON.DIST(AA$1,$B21,FALSE)+(1-$B21/AA$1)*_xlfn.POISSON.DIST(AA$1-1,$B21,TRUE))*EXP(-(AA$1-$B21)*'Staffing Calculator'!$B$5/'Staffing Calculator'!$B$6))</f>
        <v/>
      </c>
      <c r="AB21" s="56">
        <f>IF(AB$1&lt;=$B21,0,1-_xlfn.POISSON.DIST(AB$1,$B21,FALSE)/(_xlfn.POISSON.DIST(AB$1,$B21,FALSE)+(1-$B21/AB$1)*_xlfn.POISSON.DIST(AB$1-1,$B21,TRUE))*EXP(-(AB$1-$B21)*'Staffing Calculator'!$B$5/'Staffing Calculator'!$B$6))</f>
        <v/>
      </c>
      <c r="AC21" s="56">
        <f>IF(AC$1&lt;=$B21,0,1-_xlfn.POISSON.DIST(AC$1,$B21,FALSE)/(_xlfn.POISSON.DIST(AC$1,$B21,FALSE)+(1-$B21/AC$1)*_xlfn.POISSON.DIST(AC$1-1,$B21,TRUE))*EXP(-(AC$1-$B21)*'Staffing Calculator'!$B$5/'Staffing Calculator'!$B$6))</f>
        <v/>
      </c>
      <c r="AD21" s="56">
        <f>IF(AD$1&lt;=$B21,0,1-_xlfn.POISSON.DIST(AD$1,$B21,FALSE)/(_xlfn.POISSON.DIST(AD$1,$B21,FALSE)+(1-$B21/AD$1)*_xlfn.POISSON.DIST(AD$1-1,$B21,TRUE))*EXP(-(AD$1-$B21)*'Staffing Calculator'!$B$5/'Staffing Calculator'!$B$6))</f>
        <v/>
      </c>
      <c r="AE21" s="56">
        <f>IF(AE$1&lt;=$B21,0,1-_xlfn.POISSON.DIST(AE$1,$B21,FALSE)/(_xlfn.POISSON.DIST(AE$1,$B21,FALSE)+(1-$B21/AE$1)*_xlfn.POISSON.DIST(AE$1-1,$B21,TRUE))*EXP(-(AE$1-$B21)*'Staffing Calculator'!$B$5/'Staffing Calculator'!$B$6))</f>
        <v/>
      </c>
      <c r="AF21" s="56">
        <f>IF(AF$1&lt;=$B21,0,1-_xlfn.POISSON.DIST(AF$1,$B21,FALSE)/(_xlfn.POISSON.DIST(AF$1,$B21,FALSE)+(1-$B21/AF$1)*_xlfn.POISSON.DIST(AF$1-1,$B21,TRUE))*EXP(-(AF$1-$B21)*'Staffing Calculator'!$B$5/'Staffing Calculator'!$B$6))</f>
        <v/>
      </c>
      <c r="AG21" s="56">
        <f>IF(AG$1&lt;=$B21,0,1-_xlfn.POISSON.DIST(AG$1,$B21,FALSE)/(_xlfn.POISSON.DIST(AG$1,$B21,FALSE)+(1-$B21/AG$1)*_xlfn.POISSON.DIST(AG$1-1,$B21,TRUE))*EXP(-(AG$1-$B21)*'Staffing Calculator'!$B$5/'Staffing Calculator'!$B$6))</f>
        <v/>
      </c>
      <c r="AH21" s="56">
        <f>IF(AH$1&lt;=$B21,0,1-_xlfn.POISSON.DIST(AH$1,$B21,FALSE)/(_xlfn.POISSON.DIST(AH$1,$B21,FALSE)+(1-$B21/AH$1)*_xlfn.POISSON.DIST(AH$1-1,$B21,TRUE))*EXP(-(AH$1-$B21)*'Staffing Calculator'!$B$5/'Staffing Calculator'!$B$6))</f>
        <v/>
      </c>
      <c r="AI21" s="56">
        <f>IF(AI$1&lt;=$B21,0,1-_xlfn.POISSON.DIST(AI$1,$B21,FALSE)/(_xlfn.POISSON.DIST(AI$1,$B21,FALSE)+(1-$B21/AI$1)*_xlfn.POISSON.DIST(AI$1-1,$B21,TRUE))*EXP(-(AI$1-$B21)*'Staffing Calculator'!$B$5/'Staffing Calculator'!$B$6))</f>
        <v/>
      </c>
      <c r="AJ21" s="56">
        <f>IF(AJ$1&lt;=$B21,0,1-_xlfn.POISSON.DIST(AJ$1,$B21,FALSE)/(_xlfn.POISSON.DIST(AJ$1,$B21,FALSE)+(1-$B21/AJ$1)*_xlfn.POISSON.DIST(AJ$1-1,$B21,TRUE))*EXP(-(AJ$1-$B21)*'Staffing Calculator'!$B$5/'Staffing Calculator'!$B$6))</f>
        <v/>
      </c>
      <c r="AK21" s="56">
        <f>IF(AK$1&lt;=$B21,0,1-_xlfn.POISSON.DIST(AK$1,$B21,FALSE)/(_xlfn.POISSON.DIST(AK$1,$B21,FALSE)+(1-$B21/AK$1)*_xlfn.POISSON.DIST(AK$1-1,$B21,TRUE))*EXP(-(AK$1-$B21)*'Staffing Calculator'!$B$5/'Staffing Calculator'!$B$6))</f>
        <v/>
      </c>
      <c r="AL21" s="56">
        <f>IF(AL$1&lt;=$B21,0,1-_xlfn.POISSON.DIST(AL$1,$B21,FALSE)/(_xlfn.POISSON.DIST(AL$1,$B21,FALSE)+(1-$B21/AL$1)*_xlfn.POISSON.DIST(AL$1-1,$B21,TRUE))*EXP(-(AL$1-$B21)*'Staffing Calculator'!$B$5/'Staffing Calculator'!$B$6))</f>
        <v/>
      </c>
      <c r="AM21" s="56">
        <f>IF(AM$1&lt;=$B21,0,1-_xlfn.POISSON.DIST(AM$1,$B21,FALSE)/(_xlfn.POISSON.DIST(AM$1,$B21,FALSE)+(1-$B21/AM$1)*_xlfn.POISSON.DIST(AM$1-1,$B21,TRUE))*EXP(-(AM$1-$B21)*'Staffing Calculator'!$B$5/'Staffing Calculator'!$B$6))</f>
        <v/>
      </c>
      <c r="AN21" s="56">
        <f>IF(AN$1&lt;=$B21,0,1-_xlfn.POISSON.DIST(AN$1,$B21,FALSE)/(_xlfn.POISSON.DIST(AN$1,$B21,FALSE)+(1-$B21/AN$1)*_xlfn.POISSON.DIST(AN$1-1,$B21,TRUE))*EXP(-(AN$1-$B21)*'Staffing Calculator'!$B$5/'Staffing Calculator'!$B$6))</f>
        <v/>
      </c>
      <c r="AO21" s="56">
        <f>IF(AO$1&lt;=$B21,0,1-_xlfn.POISSON.DIST(AO$1,$B21,FALSE)/(_xlfn.POISSON.DIST(AO$1,$B21,FALSE)+(1-$B21/AO$1)*_xlfn.POISSON.DIST(AO$1-1,$B21,TRUE))*EXP(-(AO$1-$B21)*'Staffing Calculator'!$B$5/'Staffing Calculator'!$B$6))</f>
        <v/>
      </c>
      <c r="AP21" s="56">
        <f>IF(AP$1&lt;=$B21,0,1-_xlfn.POISSON.DIST(AP$1,$B21,FALSE)/(_xlfn.POISSON.DIST(AP$1,$B21,FALSE)+(1-$B21/AP$1)*_xlfn.POISSON.DIST(AP$1-1,$B21,TRUE))*EXP(-(AP$1-$B21)*'Staffing Calculator'!$B$5/'Staffing Calculator'!$B$6))</f>
        <v/>
      </c>
      <c r="AQ21" s="56">
        <f>IF(AQ$1&lt;=$B21,0,1-_xlfn.POISSON.DIST(AQ$1,$B21,FALSE)/(_xlfn.POISSON.DIST(AQ$1,$B21,FALSE)+(1-$B21/AQ$1)*_xlfn.POISSON.DIST(AQ$1-1,$B21,TRUE))*EXP(-(AQ$1-$B21)*'Staffing Calculator'!$B$5/'Staffing Calculator'!$B$6))</f>
        <v/>
      </c>
      <c r="AR21" s="56">
        <f>IF(AR$1&lt;=$B21,0,1-_xlfn.POISSON.DIST(AR$1,$B21,FALSE)/(_xlfn.POISSON.DIST(AR$1,$B21,FALSE)+(1-$B21/AR$1)*_xlfn.POISSON.DIST(AR$1-1,$B21,TRUE))*EXP(-(AR$1-$B21)*'Staffing Calculator'!$B$5/'Staffing Calculator'!$B$6))</f>
        <v/>
      </c>
      <c r="AS21" s="56">
        <f>IF(AS$1&lt;=$B21,0,1-_xlfn.POISSON.DIST(AS$1,$B21,FALSE)/(_xlfn.POISSON.DIST(AS$1,$B21,FALSE)+(1-$B21/AS$1)*_xlfn.POISSON.DIST(AS$1-1,$B21,TRUE))*EXP(-(AS$1-$B21)*'Staffing Calculator'!$B$5/'Staffing Calculator'!$B$6))</f>
        <v/>
      </c>
      <c r="AT21" s="56">
        <f>IF(AT$1&lt;=$B21,0,1-_xlfn.POISSON.DIST(AT$1,$B21,FALSE)/(_xlfn.POISSON.DIST(AT$1,$B21,FALSE)+(1-$B21/AT$1)*_xlfn.POISSON.DIST(AT$1-1,$B21,TRUE))*EXP(-(AT$1-$B21)*'Staffing Calculator'!$B$5/'Staffing Calculator'!$B$6))</f>
        <v/>
      </c>
      <c r="AU21" s="56">
        <f>IF(AU$1&lt;=$B21,0,1-_xlfn.POISSON.DIST(AU$1,$B21,FALSE)/(_xlfn.POISSON.DIST(AU$1,$B21,FALSE)+(1-$B21/AU$1)*_xlfn.POISSON.DIST(AU$1-1,$B21,TRUE))*EXP(-(AU$1-$B21)*'Staffing Calculator'!$B$5/'Staffing Calculator'!$B$6))</f>
        <v/>
      </c>
      <c r="AV21" s="56">
        <f>IF(AV$1&lt;=$B21,0,1-_xlfn.POISSON.DIST(AV$1,$B21,FALSE)/(_xlfn.POISSON.DIST(AV$1,$B21,FALSE)+(1-$B21/AV$1)*_xlfn.POISSON.DIST(AV$1-1,$B21,TRUE))*EXP(-(AV$1-$B21)*'Staffing Calculator'!$B$5/'Staffing Calculator'!$B$6))</f>
        <v/>
      </c>
      <c r="AW21" s="56">
        <f>IF(AW$1&lt;=$B21,0,1-_xlfn.POISSON.DIST(AW$1,$B21,FALSE)/(_xlfn.POISSON.DIST(AW$1,$B21,FALSE)+(1-$B21/AW$1)*_xlfn.POISSON.DIST(AW$1-1,$B21,TRUE))*EXP(-(AW$1-$B21)*'Staffing Calculator'!$B$5/'Staffing Calculator'!$B$6))</f>
        <v/>
      </c>
      <c r="AX21" s="56">
        <f>IF(AX$1&lt;=$B21,0,1-_xlfn.POISSON.DIST(AX$1,$B21,FALSE)/(_xlfn.POISSON.DIST(AX$1,$B21,FALSE)+(1-$B21/AX$1)*_xlfn.POISSON.DIST(AX$1-1,$B21,TRUE))*EXP(-(AX$1-$B21)*'Staffing Calculator'!$B$5/'Staffing Calculator'!$B$6))</f>
        <v/>
      </c>
      <c r="AY21" s="56">
        <f>IF(AY$1&lt;=$B21,0,1-_xlfn.POISSON.DIST(AY$1,$B21,FALSE)/(_xlfn.POISSON.DIST(AY$1,$B21,FALSE)+(1-$B21/AY$1)*_xlfn.POISSON.DIST(AY$1-1,$B21,TRUE))*EXP(-(AY$1-$B21)*'Staffing Calculator'!$B$5/'Staffing Calculator'!$B$6))</f>
        <v/>
      </c>
      <c r="AZ21" s="56">
        <f>IF(AZ$1&lt;=$B21,0,1-_xlfn.POISSON.DIST(AZ$1,$B21,FALSE)/(_xlfn.POISSON.DIST(AZ$1,$B21,FALSE)+(1-$B21/AZ$1)*_xlfn.POISSON.DIST(AZ$1-1,$B21,TRUE))*EXP(-(AZ$1-$B21)*'Staffing Calculator'!$B$5/'Staffing Calculator'!$B$6))</f>
        <v/>
      </c>
      <c r="BA21" s="56">
        <f>IF(BA$1&lt;=$B21,0,1-_xlfn.POISSON.DIST(BA$1,$B21,FALSE)/(_xlfn.POISSON.DIST(BA$1,$B21,FALSE)+(1-$B21/BA$1)*_xlfn.POISSON.DIST(BA$1-1,$B21,TRUE))*EXP(-(BA$1-$B21)*'Staffing Calculator'!$B$5/'Staffing Calculator'!$B$6))</f>
        <v/>
      </c>
      <c r="BB21" s="56">
        <f>IF(BB$1&lt;=$B21,0,1-_xlfn.POISSON.DIST(BB$1,$B21,FALSE)/(_xlfn.POISSON.DIST(BB$1,$B21,FALSE)+(1-$B21/BB$1)*_xlfn.POISSON.DIST(BB$1-1,$B21,TRUE))*EXP(-(BB$1-$B21)*'Staffing Calculator'!$B$5/'Staffing Calculator'!$B$6))</f>
        <v/>
      </c>
      <c r="BC21" s="56">
        <f>IF(BC$1&lt;=$B21,0,1-_xlfn.POISSON.DIST(BC$1,$B21,FALSE)/(_xlfn.POISSON.DIST(BC$1,$B21,FALSE)+(1-$B21/BC$1)*_xlfn.POISSON.DIST(BC$1-1,$B21,TRUE))*EXP(-(BC$1-$B21)*'Staffing Calculator'!$B$5/'Staffing Calculator'!$B$6))</f>
        <v/>
      </c>
      <c r="BD21" s="56">
        <f>IF(BD$1&lt;=$B21,0,1-_xlfn.POISSON.DIST(BD$1,$B21,FALSE)/(_xlfn.POISSON.DIST(BD$1,$B21,FALSE)+(1-$B21/BD$1)*_xlfn.POISSON.DIST(BD$1-1,$B21,TRUE))*EXP(-(BD$1-$B21)*'Staffing Calculator'!$B$5/'Staffing Calculator'!$B$6))</f>
        <v/>
      </c>
      <c r="BE21" s="56">
        <f>IF(BE$1&lt;=$B21,0,1-_xlfn.POISSON.DIST(BE$1,$B21,FALSE)/(_xlfn.POISSON.DIST(BE$1,$B21,FALSE)+(1-$B21/BE$1)*_xlfn.POISSON.DIST(BE$1-1,$B21,TRUE))*EXP(-(BE$1-$B21)*'Staffing Calculator'!$B$5/'Staffing Calculator'!$B$6))</f>
        <v/>
      </c>
      <c r="BF21" s="56">
        <f>IF(BF$1&lt;=$B21,0,1-_xlfn.POISSON.DIST(BF$1,$B21,FALSE)/(_xlfn.POISSON.DIST(BF$1,$B21,FALSE)+(1-$B21/BF$1)*_xlfn.POISSON.DIST(BF$1-1,$B21,TRUE))*EXP(-(BF$1-$B21)*'Staffing Calculator'!$B$5/'Staffing Calculator'!$B$6))</f>
        <v/>
      </c>
      <c r="BG21" s="56">
        <f>IF(BG$1&lt;=$B21,0,1-_xlfn.POISSON.DIST(BG$1,$B21,FALSE)/(_xlfn.POISSON.DIST(BG$1,$B21,FALSE)+(1-$B21/BG$1)*_xlfn.POISSON.DIST(BG$1-1,$B21,TRUE))*EXP(-(BG$1-$B21)*'Staffing Calculator'!$B$5/'Staffing Calculator'!$B$6))</f>
        <v/>
      </c>
      <c r="BH21" s="56">
        <f>IF(BH$1&lt;=$B21,0,1-_xlfn.POISSON.DIST(BH$1,$B21,FALSE)/(_xlfn.POISSON.DIST(BH$1,$B21,FALSE)+(1-$B21/BH$1)*_xlfn.POISSON.DIST(BH$1-1,$B21,TRUE))*EXP(-(BH$1-$B21)*'Staffing Calculator'!$B$5/'Staffing Calculator'!$B$6))</f>
        <v/>
      </c>
      <c r="BI21" s="56">
        <f>IF(BI$1&lt;=$B21,0,1-_xlfn.POISSON.DIST(BI$1,$B21,FALSE)/(_xlfn.POISSON.DIST(BI$1,$B21,FALSE)+(1-$B21/BI$1)*_xlfn.POISSON.DIST(BI$1-1,$B21,TRUE))*EXP(-(BI$1-$B21)*'Staffing Calculator'!$B$5/'Staffing Calculator'!$B$6))</f>
        <v/>
      </c>
      <c r="BJ21" s="56">
        <f>IF(BJ$1&lt;=$B21,0,1-_xlfn.POISSON.DIST(BJ$1,$B21,FALSE)/(_xlfn.POISSON.DIST(BJ$1,$B21,FALSE)+(1-$B21/BJ$1)*_xlfn.POISSON.DIST(BJ$1-1,$B21,TRUE))*EXP(-(BJ$1-$B21)*'Staffing Calculator'!$B$5/'Staffing Calculator'!$B$6))</f>
        <v/>
      </c>
    </row>
    <row r="22">
      <c r="A22" s="54">
        <f>'Staffing Calculator'!A22</f>
        <v/>
      </c>
      <c r="B22" s="55">
        <f>'Staffing Calculator'!C22</f>
        <v/>
      </c>
      <c r="C22" s="56">
        <f>IF(C$1&lt;=$B22,0,1-_xlfn.POISSON.DIST(C$1,$B22,FALSE)/(_xlfn.POISSON.DIST(C$1,$B22,FALSE)+(1-$B22/C$1)*_xlfn.POISSON.DIST(C$1-1,$B22,TRUE))*EXP(-(C$1-$B22)*'Staffing Calculator'!$B$5/'Staffing Calculator'!$B$6))</f>
        <v/>
      </c>
      <c r="D22" s="56">
        <f>IF(D$1&lt;=$B22,0,1-_xlfn.POISSON.DIST(D$1,$B22,FALSE)/(_xlfn.POISSON.DIST(D$1,$B22,FALSE)+(1-$B22/D$1)*_xlfn.POISSON.DIST(D$1-1,$B22,TRUE))*EXP(-(D$1-$B22)*'Staffing Calculator'!$B$5/'Staffing Calculator'!$B$6))</f>
        <v/>
      </c>
      <c r="E22" s="56">
        <f>IF(E$1&lt;=$B22,0,1-_xlfn.POISSON.DIST(E$1,$B22,FALSE)/(_xlfn.POISSON.DIST(E$1,$B22,FALSE)+(1-$B22/E$1)*_xlfn.POISSON.DIST(E$1-1,$B22,TRUE))*EXP(-(E$1-$B22)*'Staffing Calculator'!$B$5/'Staffing Calculator'!$B$6))</f>
        <v/>
      </c>
      <c r="F22" s="56">
        <f>IF(F$1&lt;=$B22,0,1-_xlfn.POISSON.DIST(F$1,$B22,FALSE)/(_xlfn.POISSON.DIST(F$1,$B22,FALSE)+(1-$B22/F$1)*_xlfn.POISSON.DIST(F$1-1,$B22,TRUE))*EXP(-(F$1-$B22)*'Staffing Calculator'!$B$5/'Staffing Calculator'!$B$6))</f>
        <v/>
      </c>
      <c r="G22" s="56">
        <f>IF(G$1&lt;=$B22,0,1-_xlfn.POISSON.DIST(G$1,$B22,FALSE)/(_xlfn.POISSON.DIST(G$1,$B22,FALSE)+(1-$B22/G$1)*_xlfn.POISSON.DIST(G$1-1,$B22,TRUE))*EXP(-(G$1-$B22)*'Staffing Calculator'!$B$5/'Staffing Calculator'!$B$6))</f>
        <v/>
      </c>
      <c r="H22" s="56">
        <f>IF(H$1&lt;=$B22,0,1-_xlfn.POISSON.DIST(H$1,$B22,FALSE)/(_xlfn.POISSON.DIST(H$1,$B22,FALSE)+(1-$B22/H$1)*_xlfn.POISSON.DIST(H$1-1,$B22,TRUE))*EXP(-(H$1-$B22)*'Staffing Calculator'!$B$5/'Staffing Calculator'!$B$6))</f>
        <v/>
      </c>
      <c r="I22" s="56">
        <f>IF(I$1&lt;=$B22,0,1-_xlfn.POISSON.DIST(I$1,$B22,FALSE)/(_xlfn.POISSON.DIST(I$1,$B22,FALSE)+(1-$B22/I$1)*_xlfn.POISSON.DIST(I$1-1,$B22,TRUE))*EXP(-(I$1-$B22)*'Staffing Calculator'!$B$5/'Staffing Calculator'!$B$6))</f>
        <v/>
      </c>
      <c r="J22" s="56">
        <f>IF(J$1&lt;=$B22,0,1-_xlfn.POISSON.DIST(J$1,$B22,FALSE)/(_xlfn.POISSON.DIST(J$1,$B22,FALSE)+(1-$B22/J$1)*_xlfn.POISSON.DIST(J$1-1,$B22,TRUE))*EXP(-(J$1-$B22)*'Staffing Calculator'!$B$5/'Staffing Calculator'!$B$6))</f>
        <v/>
      </c>
      <c r="K22" s="56">
        <f>IF(K$1&lt;=$B22,0,1-_xlfn.POISSON.DIST(K$1,$B22,FALSE)/(_xlfn.POISSON.DIST(K$1,$B22,FALSE)+(1-$B22/K$1)*_xlfn.POISSON.DIST(K$1-1,$B22,TRUE))*EXP(-(K$1-$B22)*'Staffing Calculator'!$B$5/'Staffing Calculator'!$B$6))</f>
        <v/>
      </c>
      <c r="L22" s="56">
        <f>IF(L$1&lt;=$B22,0,1-_xlfn.POISSON.DIST(L$1,$B22,FALSE)/(_xlfn.POISSON.DIST(L$1,$B22,FALSE)+(1-$B22/L$1)*_xlfn.POISSON.DIST(L$1-1,$B22,TRUE))*EXP(-(L$1-$B22)*'Staffing Calculator'!$B$5/'Staffing Calculator'!$B$6))</f>
        <v/>
      </c>
      <c r="M22" s="56">
        <f>IF(M$1&lt;=$B22,0,1-_xlfn.POISSON.DIST(M$1,$B22,FALSE)/(_xlfn.POISSON.DIST(M$1,$B22,FALSE)+(1-$B22/M$1)*_xlfn.POISSON.DIST(M$1-1,$B22,TRUE))*EXP(-(M$1-$B22)*'Staffing Calculator'!$B$5/'Staffing Calculator'!$B$6))</f>
        <v/>
      </c>
      <c r="N22" s="56">
        <f>IF(N$1&lt;=$B22,0,1-_xlfn.POISSON.DIST(N$1,$B22,FALSE)/(_xlfn.POISSON.DIST(N$1,$B22,FALSE)+(1-$B22/N$1)*_xlfn.POISSON.DIST(N$1-1,$B22,TRUE))*EXP(-(N$1-$B22)*'Staffing Calculator'!$B$5/'Staffing Calculator'!$B$6))</f>
        <v/>
      </c>
      <c r="O22" s="56">
        <f>IF(O$1&lt;=$B22,0,1-_xlfn.POISSON.DIST(O$1,$B22,FALSE)/(_xlfn.POISSON.DIST(O$1,$B22,FALSE)+(1-$B22/O$1)*_xlfn.POISSON.DIST(O$1-1,$B22,TRUE))*EXP(-(O$1-$B22)*'Staffing Calculator'!$B$5/'Staffing Calculator'!$B$6))</f>
        <v/>
      </c>
      <c r="P22" s="56">
        <f>IF(P$1&lt;=$B22,0,1-_xlfn.POISSON.DIST(P$1,$B22,FALSE)/(_xlfn.POISSON.DIST(P$1,$B22,FALSE)+(1-$B22/P$1)*_xlfn.POISSON.DIST(P$1-1,$B22,TRUE))*EXP(-(P$1-$B22)*'Staffing Calculator'!$B$5/'Staffing Calculator'!$B$6))</f>
        <v/>
      </c>
      <c r="Q22" s="56">
        <f>IF(Q$1&lt;=$B22,0,1-_xlfn.POISSON.DIST(Q$1,$B22,FALSE)/(_xlfn.POISSON.DIST(Q$1,$B22,FALSE)+(1-$B22/Q$1)*_xlfn.POISSON.DIST(Q$1-1,$B22,TRUE))*EXP(-(Q$1-$B22)*'Staffing Calculator'!$B$5/'Staffing Calculator'!$B$6))</f>
        <v/>
      </c>
      <c r="R22" s="56">
        <f>IF(R$1&lt;=$B22,0,1-_xlfn.POISSON.DIST(R$1,$B22,FALSE)/(_xlfn.POISSON.DIST(R$1,$B22,FALSE)+(1-$B22/R$1)*_xlfn.POISSON.DIST(R$1-1,$B22,TRUE))*EXP(-(R$1-$B22)*'Staffing Calculator'!$B$5/'Staffing Calculator'!$B$6))</f>
        <v/>
      </c>
      <c r="S22" s="56">
        <f>IF(S$1&lt;=$B22,0,1-_xlfn.POISSON.DIST(S$1,$B22,FALSE)/(_xlfn.POISSON.DIST(S$1,$B22,FALSE)+(1-$B22/S$1)*_xlfn.POISSON.DIST(S$1-1,$B22,TRUE))*EXP(-(S$1-$B22)*'Staffing Calculator'!$B$5/'Staffing Calculator'!$B$6))</f>
        <v/>
      </c>
      <c r="T22" s="56">
        <f>IF(T$1&lt;=$B22,0,1-_xlfn.POISSON.DIST(T$1,$B22,FALSE)/(_xlfn.POISSON.DIST(T$1,$B22,FALSE)+(1-$B22/T$1)*_xlfn.POISSON.DIST(T$1-1,$B22,TRUE))*EXP(-(T$1-$B22)*'Staffing Calculator'!$B$5/'Staffing Calculator'!$B$6))</f>
        <v/>
      </c>
      <c r="U22" s="56">
        <f>IF(U$1&lt;=$B22,0,1-_xlfn.POISSON.DIST(U$1,$B22,FALSE)/(_xlfn.POISSON.DIST(U$1,$B22,FALSE)+(1-$B22/U$1)*_xlfn.POISSON.DIST(U$1-1,$B22,TRUE))*EXP(-(U$1-$B22)*'Staffing Calculator'!$B$5/'Staffing Calculator'!$B$6))</f>
        <v/>
      </c>
      <c r="V22" s="56">
        <f>IF(V$1&lt;=$B22,0,1-_xlfn.POISSON.DIST(V$1,$B22,FALSE)/(_xlfn.POISSON.DIST(V$1,$B22,FALSE)+(1-$B22/V$1)*_xlfn.POISSON.DIST(V$1-1,$B22,TRUE))*EXP(-(V$1-$B22)*'Staffing Calculator'!$B$5/'Staffing Calculator'!$B$6))</f>
        <v/>
      </c>
      <c r="W22" s="56">
        <f>IF(W$1&lt;=$B22,0,1-_xlfn.POISSON.DIST(W$1,$B22,FALSE)/(_xlfn.POISSON.DIST(W$1,$B22,FALSE)+(1-$B22/W$1)*_xlfn.POISSON.DIST(W$1-1,$B22,TRUE))*EXP(-(W$1-$B22)*'Staffing Calculator'!$B$5/'Staffing Calculator'!$B$6))</f>
        <v/>
      </c>
      <c r="X22" s="56">
        <f>IF(X$1&lt;=$B22,0,1-_xlfn.POISSON.DIST(X$1,$B22,FALSE)/(_xlfn.POISSON.DIST(X$1,$B22,FALSE)+(1-$B22/X$1)*_xlfn.POISSON.DIST(X$1-1,$B22,TRUE))*EXP(-(X$1-$B22)*'Staffing Calculator'!$B$5/'Staffing Calculator'!$B$6))</f>
        <v/>
      </c>
      <c r="Y22" s="56">
        <f>IF(Y$1&lt;=$B22,0,1-_xlfn.POISSON.DIST(Y$1,$B22,FALSE)/(_xlfn.POISSON.DIST(Y$1,$B22,FALSE)+(1-$B22/Y$1)*_xlfn.POISSON.DIST(Y$1-1,$B22,TRUE))*EXP(-(Y$1-$B22)*'Staffing Calculator'!$B$5/'Staffing Calculator'!$B$6))</f>
        <v/>
      </c>
      <c r="Z22" s="56">
        <f>IF(Z$1&lt;=$B22,0,1-_xlfn.POISSON.DIST(Z$1,$B22,FALSE)/(_xlfn.POISSON.DIST(Z$1,$B22,FALSE)+(1-$B22/Z$1)*_xlfn.POISSON.DIST(Z$1-1,$B22,TRUE))*EXP(-(Z$1-$B22)*'Staffing Calculator'!$B$5/'Staffing Calculator'!$B$6))</f>
        <v/>
      </c>
      <c r="AA22" s="56">
        <f>IF(AA$1&lt;=$B22,0,1-_xlfn.POISSON.DIST(AA$1,$B22,FALSE)/(_xlfn.POISSON.DIST(AA$1,$B22,FALSE)+(1-$B22/AA$1)*_xlfn.POISSON.DIST(AA$1-1,$B22,TRUE))*EXP(-(AA$1-$B22)*'Staffing Calculator'!$B$5/'Staffing Calculator'!$B$6))</f>
        <v/>
      </c>
      <c r="AB22" s="56">
        <f>IF(AB$1&lt;=$B22,0,1-_xlfn.POISSON.DIST(AB$1,$B22,FALSE)/(_xlfn.POISSON.DIST(AB$1,$B22,FALSE)+(1-$B22/AB$1)*_xlfn.POISSON.DIST(AB$1-1,$B22,TRUE))*EXP(-(AB$1-$B22)*'Staffing Calculator'!$B$5/'Staffing Calculator'!$B$6))</f>
        <v/>
      </c>
      <c r="AC22" s="56">
        <f>IF(AC$1&lt;=$B22,0,1-_xlfn.POISSON.DIST(AC$1,$B22,FALSE)/(_xlfn.POISSON.DIST(AC$1,$B22,FALSE)+(1-$B22/AC$1)*_xlfn.POISSON.DIST(AC$1-1,$B22,TRUE))*EXP(-(AC$1-$B22)*'Staffing Calculator'!$B$5/'Staffing Calculator'!$B$6))</f>
        <v/>
      </c>
      <c r="AD22" s="56">
        <f>IF(AD$1&lt;=$B22,0,1-_xlfn.POISSON.DIST(AD$1,$B22,FALSE)/(_xlfn.POISSON.DIST(AD$1,$B22,FALSE)+(1-$B22/AD$1)*_xlfn.POISSON.DIST(AD$1-1,$B22,TRUE))*EXP(-(AD$1-$B22)*'Staffing Calculator'!$B$5/'Staffing Calculator'!$B$6))</f>
        <v/>
      </c>
      <c r="AE22" s="56">
        <f>IF(AE$1&lt;=$B22,0,1-_xlfn.POISSON.DIST(AE$1,$B22,FALSE)/(_xlfn.POISSON.DIST(AE$1,$B22,FALSE)+(1-$B22/AE$1)*_xlfn.POISSON.DIST(AE$1-1,$B22,TRUE))*EXP(-(AE$1-$B22)*'Staffing Calculator'!$B$5/'Staffing Calculator'!$B$6))</f>
        <v/>
      </c>
      <c r="AF22" s="56">
        <f>IF(AF$1&lt;=$B22,0,1-_xlfn.POISSON.DIST(AF$1,$B22,FALSE)/(_xlfn.POISSON.DIST(AF$1,$B22,FALSE)+(1-$B22/AF$1)*_xlfn.POISSON.DIST(AF$1-1,$B22,TRUE))*EXP(-(AF$1-$B22)*'Staffing Calculator'!$B$5/'Staffing Calculator'!$B$6))</f>
        <v/>
      </c>
      <c r="AG22" s="56">
        <f>IF(AG$1&lt;=$B22,0,1-_xlfn.POISSON.DIST(AG$1,$B22,FALSE)/(_xlfn.POISSON.DIST(AG$1,$B22,FALSE)+(1-$B22/AG$1)*_xlfn.POISSON.DIST(AG$1-1,$B22,TRUE))*EXP(-(AG$1-$B22)*'Staffing Calculator'!$B$5/'Staffing Calculator'!$B$6))</f>
        <v/>
      </c>
      <c r="AH22" s="56">
        <f>IF(AH$1&lt;=$B22,0,1-_xlfn.POISSON.DIST(AH$1,$B22,FALSE)/(_xlfn.POISSON.DIST(AH$1,$B22,FALSE)+(1-$B22/AH$1)*_xlfn.POISSON.DIST(AH$1-1,$B22,TRUE))*EXP(-(AH$1-$B22)*'Staffing Calculator'!$B$5/'Staffing Calculator'!$B$6))</f>
        <v/>
      </c>
      <c r="AI22" s="56">
        <f>IF(AI$1&lt;=$B22,0,1-_xlfn.POISSON.DIST(AI$1,$B22,FALSE)/(_xlfn.POISSON.DIST(AI$1,$B22,FALSE)+(1-$B22/AI$1)*_xlfn.POISSON.DIST(AI$1-1,$B22,TRUE))*EXP(-(AI$1-$B22)*'Staffing Calculator'!$B$5/'Staffing Calculator'!$B$6))</f>
        <v/>
      </c>
      <c r="AJ22" s="56">
        <f>IF(AJ$1&lt;=$B22,0,1-_xlfn.POISSON.DIST(AJ$1,$B22,FALSE)/(_xlfn.POISSON.DIST(AJ$1,$B22,FALSE)+(1-$B22/AJ$1)*_xlfn.POISSON.DIST(AJ$1-1,$B22,TRUE))*EXP(-(AJ$1-$B22)*'Staffing Calculator'!$B$5/'Staffing Calculator'!$B$6))</f>
        <v/>
      </c>
      <c r="AK22" s="56">
        <f>IF(AK$1&lt;=$B22,0,1-_xlfn.POISSON.DIST(AK$1,$B22,FALSE)/(_xlfn.POISSON.DIST(AK$1,$B22,FALSE)+(1-$B22/AK$1)*_xlfn.POISSON.DIST(AK$1-1,$B22,TRUE))*EXP(-(AK$1-$B22)*'Staffing Calculator'!$B$5/'Staffing Calculator'!$B$6))</f>
        <v/>
      </c>
      <c r="AL22" s="56">
        <f>IF(AL$1&lt;=$B22,0,1-_xlfn.POISSON.DIST(AL$1,$B22,FALSE)/(_xlfn.POISSON.DIST(AL$1,$B22,FALSE)+(1-$B22/AL$1)*_xlfn.POISSON.DIST(AL$1-1,$B22,TRUE))*EXP(-(AL$1-$B22)*'Staffing Calculator'!$B$5/'Staffing Calculator'!$B$6))</f>
        <v/>
      </c>
      <c r="AM22" s="56">
        <f>IF(AM$1&lt;=$B22,0,1-_xlfn.POISSON.DIST(AM$1,$B22,FALSE)/(_xlfn.POISSON.DIST(AM$1,$B22,FALSE)+(1-$B22/AM$1)*_xlfn.POISSON.DIST(AM$1-1,$B22,TRUE))*EXP(-(AM$1-$B22)*'Staffing Calculator'!$B$5/'Staffing Calculator'!$B$6))</f>
        <v/>
      </c>
      <c r="AN22" s="56">
        <f>IF(AN$1&lt;=$B22,0,1-_xlfn.POISSON.DIST(AN$1,$B22,FALSE)/(_xlfn.POISSON.DIST(AN$1,$B22,FALSE)+(1-$B22/AN$1)*_xlfn.POISSON.DIST(AN$1-1,$B22,TRUE))*EXP(-(AN$1-$B22)*'Staffing Calculator'!$B$5/'Staffing Calculator'!$B$6))</f>
        <v/>
      </c>
      <c r="AO22" s="56">
        <f>IF(AO$1&lt;=$B22,0,1-_xlfn.POISSON.DIST(AO$1,$B22,FALSE)/(_xlfn.POISSON.DIST(AO$1,$B22,FALSE)+(1-$B22/AO$1)*_xlfn.POISSON.DIST(AO$1-1,$B22,TRUE))*EXP(-(AO$1-$B22)*'Staffing Calculator'!$B$5/'Staffing Calculator'!$B$6))</f>
        <v/>
      </c>
      <c r="AP22" s="56">
        <f>IF(AP$1&lt;=$B22,0,1-_xlfn.POISSON.DIST(AP$1,$B22,FALSE)/(_xlfn.POISSON.DIST(AP$1,$B22,FALSE)+(1-$B22/AP$1)*_xlfn.POISSON.DIST(AP$1-1,$B22,TRUE))*EXP(-(AP$1-$B22)*'Staffing Calculator'!$B$5/'Staffing Calculator'!$B$6))</f>
        <v/>
      </c>
      <c r="AQ22" s="56">
        <f>IF(AQ$1&lt;=$B22,0,1-_xlfn.POISSON.DIST(AQ$1,$B22,FALSE)/(_xlfn.POISSON.DIST(AQ$1,$B22,FALSE)+(1-$B22/AQ$1)*_xlfn.POISSON.DIST(AQ$1-1,$B22,TRUE))*EXP(-(AQ$1-$B22)*'Staffing Calculator'!$B$5/'Staffing Calculator'!$B$6))</f>
        <v/>
      </c>
      <c r="AR22" s="56">
        <f>IF(AR$1&lt;=$B22,0,1-_xlfn.POISSON.DIST(AR$1,$B22,FALSE)/(_xlfn.POISSON.DIST(AR$1,$B22,FALSE)+(1-$B22/AR$1)*_xlfn.POISSON.DIST(AR$1-1,$B22,TRUE))*EXP(-(AR$1-$B22)*'Staffing Calculator'!$B$5/'Staffing Calculator'!$B$6))</f>
        <v/>
      </c>
      <c r="AS22" s="56">
        <f>IF(AS$1&lt;=$B22,0,1-_xlfn.POISSON.DIST(AS$1,$B22,FALSE)/(_xlfn.POISSON.DIST(AS$1,$B22,FALSE)+(1-$B22/AS$1)*_xlfn.POISSON.DIST(AS$1-1,$B22,TRUE))*EXP(-(AS$1-$B22)*'Staffing Calculator'!$B$5/'Staffing Calculator'!$B$6))</f>
        <v/>
      </c>
      <c r="AT22" s="56">
        <f>IF(AT$1&lt;=$B22,0,1-_xlfn.POISSON.DIST(AT$1,$B22,FALSE)/(_xlfn.POISSON.DIST(AT$1,$B22,FALSE)+(1-$B22/AT$1)*_xlfn.POISSON.DIST(AT$1-1,$B22,TRUE))*EXP(-(AT$1-$B22)*'Staffing Calculator'!$B$5/'Staffing Calculator'!$B$6))</f>
        <v/>
      </c>
      <c r="AU22" s="56">
        <f>IF(AU$1&lt;=$B22,0,1-_xlfn.POISSON.DIST(AU$1,$B22,FALSE)/(_xlfn.POISSON.DIST(AU$1,$B22,FALSE)+(1-$B22/AU$1)*_xlfn.POISSON.DIST(AU$1-1,$B22,TRUE))*EXP(-(AU$1-$B22)*'Staffing Calculator'!$B$5/'Staffing Calculator'!$B$6))</f>
        <v/>
      </c>
      <c r="AV22" s="56">
        <f>IF(AV$1&lt;=$B22,0,1-_xlfn.POISSON.DIST(AV$1,$B22,FALSE)/(_xlfn.POISSON.DIST(AV$1,$B22,FALSE)+(1-$B22/AV$1)*_xlfn.POISSON.DIST(AV$1-1,$B22,TRUE))*EXP(-(AV$1-$B22)*'Staffing Calculator'!$B$5/'Staffing Calculator'!$B$6))</f>
        <v/>
      </c>
      <c r="AW22" s="56">
        <f>IF(AW$1&lt;=$B22,0,1-_xlfn.POISSON.DIST(AW$1,$B22,FALSE)/(_xlfn.POISSON.DIST(AW$1,$B22,FALSE)+(1-$B22/AW$1)*_xlfn.POISSON.DIST(AW$1-1,$B22,TRUE))*EXP(-(AW$1-$B22)*'Staffing Calculator'!$B$5/'Staffing Calculator'!$B$6))</f>
        <v/>
      </c>
      <c r="AX22" s="56">
        <f>IF(AX$1&lt;=$B22,0,1-_xlfn.POISSON.DIST(AX$1,$B22,FALSE)/(_xlfn.POISSON.DIST(AX$1,$B22,FALSE)+(1-$B22/AX$1)*_xlfn.POISSON.DIST(AX$1-1,$B22,TRUE))*EXP(-(AX$1-$B22)*'Staffing Calculator'!$B$5/'Staffing Calculator'!$B$6))</f>
        <v/>
      </c>
      <c r="AY22" s="56">
        <f>IF(AY$1&lt;=$B22,0,1-_xlfn.POISSON.DIST(AY$1,$B22,FALSE)/(_xlfn.POISSON.DIST(AY$1,$B22,FALSE)+(1-$B22/AY$1)*_xlfn.POISSON.DIST(AY$1-1,$B22,TRUE))*EXP(-(AY$1-$B22)*'Staffing Calculator'!$B$5/'Staffing Calculator'!$B$6))</f>
        <v/>
      </c>
      <c r="AZ22" s="56">
        <f>IF(AZ$1&lt;=$B22,0,1-_xlfn.POISSON.DIST(AZ$1,$B22,FALSE)/(_xlfn.POISSON.DIST(AZ$1,$B22,FALSE)+(1-$B22/AZ$1)*_xlfn.POISSON.DIST(AZ$1-1,$B22,TRUE))*EXP(-(AZ$1-$B22)*'Staffing Calculator'!$B$5/'Staffing Calculator'!$B$6))</f>
        <v/>
      </c>
      <c r="BA22" s="56">
        <f>IF(BA$1&lt;=$B22,0,1-_xlfn.POISSON.DIST(BA$1,$B22,FALSE)/(_xlfn.POISSON.DIST(BA$1,$B22,FALSE)+(1-$B22/BA$1)*_xlfn.POISSON.DIST(BA$1-1,$B22,TRUE))*EXP(-(BA$1-$B22)*'Staffing Calculator'!$B$5/'Staffing Calculator'!$B$6))</f>
        <v/>
      </c>
      <c r="BB22" s="56">
        <f>IF(BB$1&lt;=$B22,0,1-_xlfn.POISSON.DIST(BB$1,$B22,FALSE)/(_xlfn.POISSON.DIST(BB$1,$B22,FALSE)+(1-$B22/BB$1)*_xlfn.POISSON.DIST(BB$1-1,$B22,TRUE))*EXP(-(BB$1-$B22)*'Staffing Calculator'!$B$5/'Staffing Calculator'!$B$6))</f>
        <v/>
      </c>
      <c r="BC22" s="56">
        <f>IF(BC$1&lt;=$B22,0,1-_xlfn.POISSON.DIST(BC$1,$B22,FALSE)/(_xlfn.POISSON.DIST(BC$1,$B22,FALSE)+(1-$B22/BC$1)*_xlfn.POISSON.DIST(BC$1-1,$B22,TRUE))*EXP(-(BC$1-$B22)*'Staffing Calculator'!$B$5/'Staffing Calculator'!$B$6))</f>
        <v/>
      </c>
      <c r="BD22" s="56">
        <f>IF(BD$1&lt;=$B22,0,1-_xlfn.POISSON.DIST(BD$1,$B22,FALSE)/(_xlfn.POISSON.DIST(BD$1,$B22,FALSE)+(1-$B22/BD$1)*_xlfn.POISSON.DIST(BD$1-1,$B22,TRUE))*EXP(-(BD$1-$B22)*'Staffing Calculator'!$B$5/'Staffing Calculator'!$B$6))</f>
        <v/>
      </c>
      <c r="BE22" s="56">
        <f>IF(BE$1&lt;=$B22,0,1-_xlfn.POISSON.DIST(BE$1,$B22,FALSE)/(_xlfn.POISSON.DIST(BE$1,$B22,FALSE)+(1-$B22/BE$1)*_xlfn.POISSON.DIST(BE$1-1,$B22,TRUE))*EXP(-(BE$1-$B22)*'Staffing Calculator'!$B$5/'Staffing Calculator'!$B$6))</f>
        <v/>
      </c>
      <c r="BF22" s="56">
        <f>IF(BF$1&lt;=$B22,0,1-_xlfn.POISSON.DIST(BF$1,$B22,FALSE)/(_xlfn.POISSON.DIST(BF$1,$B22,FALSE)+(1-$B22/BF$1)*_xlfn.POISSON.DIST(BF$1-1,$B22,TRUE))*EXP(-(BF$1-$B22)*'Staffing Calculator'!$B$5/'Staffing Calculator'!$B$6))</f>
        <v/>
      </c>
      <c r="BG22" s="56">
        <f>IF(BG$1&lt;=$B22,0,1-_xlfn.POISSON.DIST(BG$1,$B22,FALSE)/(_xlfn.POISSON.DIST(BG$1,$B22,FALSE)+(1-$B22/BG$1)*_xlfn.POISSON.DIST(BG$1-1,$B22,TRUE))*EXP(-(BG$1-$B22)*'Staffing Calculator'!$B$5/'Staffing Calculator'!$B$6))</f>
        <v/>
      </c>
      <c r="BH22" s="56">
        <f>IF(BH$1&lt;=$B22,0,1-_xlfn.POISSON.DIST(BH$1,$B22,FALSE)/(_xlfn.POISSON.DIST(BH$1,$B22,FALSE)+(1-$B22/BH$1)*_xlfn.POISSON.DIST(BH$1-1,$B22,TRUE))*EXP(-(BH$1-$B22)*'Staffing Calculator'!$B$5/'Staffing Calculator'!$B$6))</f>
        <v/>
      </c>
      <c r="BI22" s="56">
        <f>IF(BI$1&lt;=$B22,0,1-_xlfn.POISSON.DIST(BI$1,$B22,FALSE)/(_xlfn.POISSON.DIST(BI$1,$B22,FALSE)+(1-$B22/BI$1)*_xlfn.POISSON.DIST(BI$1-1,$B22,TRUE))*EXP(-(BI$1-$B22)*'Staffing Calculator'!$B$5/'Staffing Calculator'!$B$6))</f>
        <v/>
      </c>
      <c r="BJ22" s="56">
        <f>IF(BJ$1&lt;=$B22,0,1-_xlfn.POISSON.DIST(BJ$1,$B22,FALSE)/(_xlfn.POISSON.DIST(BJ$1,$B22,FALSE)+(1-$B22/BJ$1)*_xlfn.POISSON.DIST(BJ$1-1,$B22,TRUE))*EXP(-(BJ$1-$B22)*'Staffing Calculator'!$B$5/'Staffing Calculator'!$B$6))</f>
        <v/>
      </c>
    </row>
    <row r="23">
      <c r="A23" s="54">
        <f>'Staffing Calculator'!A23</f>
        <v/>
      </c>
      <c r="B23" s="55">
        <f>'Staffing Calculator'!C23</f>
        <v/>
      </c>
      <c r="C23" s="56">
        <f>IF(C$1&lt;=$B23,0,1-_xlfn.POISSON.DIST(C$1,$B23,FALSE)/(_xlfn.POISSON.DIST(C$1,$B23,FALSE)+(1-$B23/C$1)*_xlfn.POISSON.DIST(C$1-1,$B23,TRUE))*EXP(-(C$1-$B23)*'Staffing Calculator'!$B$5/'Staffing Calculator'!$B$6))</f>
        <v/>
      </c>
      <c r="D23" s="56">
        <f>IF(D$1&lt;=$B23,0,1-_xlfn.POISSON.DIST(D$1,$B23,FALSE)/(_xlfn.POISSON.DIST(D$1,$B23,FALSE)+(1-$B23/D$1)*_xlfn.POISSON.DIST(D$1-1,$B23,TRUE))*EXP(-(D$1-$B23)*'Staffing Calculator'!$B$5/'Staffing Calculator'!$B$6))</f>
        <v/>
      </c>
      <c r="E23" s="56">
        <f>IF(E$1&lt;=$B23,0,1-_xlfn.POISSON.DIST(E$1,$B23,FALSE)/(_xlfn.POISSON.DIST(E$1,$B23,FALSE)+(1-$B23/E$1)*_xlfn.POISSON.DIST(E$1-1,$B23,TRUE))*EXP(-(E$1-$B23)*'Staffing Calculator'!$B$5/'Staffing Calculator'!$B$6))</f>
        <v/>
      </c>
      <c r="F23" s="56">
        <f>IF(F$1&lt;=$B23,0,1-_xlfn.POISSON.DIST(F$1,$B23,FALSE)/(_xlfn.POISSON.DIST(F$1,$B23,FALSE)+(1-$B23/F$1)*_xlfn.POISSON.DIST(F$1-1,$B23,TRUE))*EXP(-(F$1-$B23)*'Staffing Calculator'!$B$5/'Staffing Calculator'!$B$6))</f>
        <v/>
      </c>
      <c r="G23" s="56">
        <f>IF(G$1&lt;=$B23,0,1-_xlfn.POISSON.DIST(G$1,$B23,FALSE)/(_xlfn.POISSON.DIST(G$1,$B23,FALSE)+(1-$B23/G$1)*_xlfn.POISSON.DIST(G$1-1,$B23,TRUE))*EXP(-(G$1-$B23)*'Staffing Calculator'!$B$5/'Staffing Calculator'!$B$6))</f>
        <v/>
      </c>
      <c r="H23" s="56">
        <f>IF(H$1&lt;=$B23,0,1-_xlfn.POISSON.DIST(H$1,$B23,FALSE)/(_xlfn.POISSON.DIST(H$1,$B23,FALSE)+(1-$B23/H$1)*_xlfn.POISSON.DIST(H$1-1,$B23,TRUE))*EXP(-(H$1-$B23)*'Staffing Calculator'!$B$5/'Staffing Calculator'!$B$6))</f>
        <v/>
      </c>
      <c r="I23" s="56">
        <f>IF(I$1&lt;=$B23,0,1-_xlfn.POISSON.DIST(I$1,$B23,FALSE)/(_xlfn.POISSON.DIST(I$1,$B23,FALSE)+(1-$B23/I$1)*_xlfn.POISSON.DIST(I$1-1,$B23,TRUE))*EXP(-(I$1-$B23)*'Staffing Calculator'!$B$5/'Staffing Calculator'!$B$6))</f>
        <v/>
      </c>
      <c r="J23" s="56">
        <f>IF(J$1&lt;=$B23,0,1-_xlfn.POISSON.DIST(J$1,$B23,FALSE)/(_xlfn.POISSON.DIST(J$1,$B23,FALSE)+(1-$B23/J$1)*_xlfn.POISSON.DIST(J$1-1,$B23,TRUE))*EXP(-(J$1-$B23)*'Staffing Calculator'!$B$5/'Staffing Calculator'!$B$6))</f>
        <v/>
      </c>
      <c r="K23" s="56">
        <f>IF(K$1&lt;=$B23,0,1-_xlfn.POISSON.DIST(K$1,$B23,FALSE)/(_xlfn.POISSON.DIST(K$1,$B23,FALSE)+(1-$B23/K$1)*_xlfn.POISSON.DIST(K$1-1,$B23,TRUE))*EXP(-(K$1-$B23)*'Staffing Calculator'!$B$5/'Staffing Calculator'!$B$6))</f>
        <v/>
      </c>
      <c r="L23" s="56">
        <f>IF(L$1&lt;=$B23,0,1-_xlfn.POISSON.DIST(L$1,$B23,FALSE)/(_xlfn.POISSON.DIST(L$1,$B23,FALSE)+(1-$B23/L$1)*_xlfn.POISSON.DIST(L$1-1,$B23,TRUE))*EXP(-(L$1-$B23)*'Staffing Calculator'!$B$5/'Staffing Calculator'!$B$6))</f>
        <v/>
      </c>
      <c r="M23" s="56">
        <f>IF(M$1&lt;=$B23,0,1-_xlfn.POISSON.DIST(M$1,$B23,FALSE)/(_xlfn.POISSON.DIST(M$1,$B23,FALSE)+(1-$B23/M$1)*_xlfn.POISSON.DIST(M$1-1,$B23,TRUE))*EXP(-(M$1-$B23)*'Staffing Calculator'!$B$5/'Staffing Calculator'!$B$6))</f>
        <v/>
      </c>
      <c r="N23" s="56">
        <f>IF(N$1&lt;=$B23,0,1-_xlfn.POISSON.DIST(N$1,$B23,FALSE)/(_xlfn.POISSON.DIST(N$1,$B23,FALSE)+(1-$B23/N$1)*_xlfn.POISSON.DIST(N$1-1,$B23,TRUE))*EXP(-(N$1-$B23)*'Staffing Calculator'!$B$5/'Staffing Calculator'!$B$6))</f>
        <v/>
      </c>
      <c r="O23" s="56">
        <f>IF(O$1&lt;=$B23,0,1-_xlfn.POISSON.DIST(O$1,$B23,FALSE)/(_xlfn.POISSON.DIST(O$1,$B23,FALSE)+(1-$B23/O$1)*_xlfn.POISSON.DIST(O$1-1,$B23,TRUE))*EXP(-(O$1-$B23)*'Staffing Calculator'!$B$5/'Staffing Calculator'!$B$6))</f>
        <v/>
      </c>
      <c r="P23" s="56">
        <f>IF(P$1&lt;=$B23,0,1-_xlfn.POISSON.DIST(P$1,$B23,FALSE)/(_xlfn.POISSON.DIST(P$1,$B23,FALSE)+(1-$B23/P$1)*_xlfn.POISSON.DIST(P$1-1,$B23,TRUE))*EXP(-(P$1-$B23)*'Staffing Calculator'!$B$5/'Staffing Calculator'!$B$6))</f>
        <v/>
      </c>
      <c r="Q23" s="56">
        <f>IF(Q$1&lt;=$B23,0,1-_xlfn.POISSON.DIST(Q$1,$B23,FALSE)/(_xlfn.POISSON.DIST(Q$1,$B23,FALSE)+(1-$B23/Q$1)*_xlfn.POISSON.DIST(Q$1-1,$B23,TRUE))*EXP(-(Q$1-$B23)*'Staffing Calculator'!$B$5/'Staffing Calculator'!$B$6))</f>
        <v/>
      </c>
      <c r="R23" s="56">
        <f>IF(R$1&lt;=$B23,0,1-_xlfn.POISSON.DIST(R$1,$B23,FALSE)/(_xlfn.POISSON.DIST(R$1,$B23,FALSE)+(1-$B23/R$1)*_xlfn.POISSON.DIST(R$1-1,$B23,TRUE))*EXP(-(R$1-$B23)*'Staffing Calculator'!$B$5/'Staffing Calculator'!$B$6))</f>
        <v/>
      </c>
      <c r="S23" s="56">
        <f>IF(S$1&lt;=$B23,0,1-_xlfn.POISSON.DIST(S$1,$B23,FALSE)/(_xlfn.POISSON.DIST(S$1,$B23,FALSE)+(1-$B23/S$1)*_xlfn.POISSON.DIST(S$1-1,$B23,TRUE))*EXP(-(S$1-$B23)*'Staffing Calculator'!$B$5/'Staffing Calculator'!$B$6))</f>
        <v/>
      </c>
      <c r="T23" s="56">
        <f>IF(T$1&lt;=$B23,0,1-_xlfn.POISSON.DIST(T$1,$B23,FALSE)/(_xlfn.POISSON.DIST(T$1,$B23,FALSE)+(1-$B23/T$1)*_xlfn.POISSON.DIST(T$1-1,$B23,TRUE))*EXP(-(T$1-$B23)*'Staffing Calculator'!$B$5/'Staffing Calculator'!$B$6))</f>
        <v/>
      </c>
      <c r="U23" s="56">
        <f>IF(U$1&lt;=$B23,0,1-_xlfn.POISSON.DIST(U$1,$B23,FALSE)/(_xlfn.POISSON.DIST(U$1,$B23,FALSE)+(1-$B23/U$1)*_xlfn.POISSON.DIST(U$1-1,$B23,TRUE))*EXP(-(U$1-$B23)*'Staffing Calculator'!$B$5/'Staffing Calculator'!$B$6))</f>
        <v/>
      </c>
      <c r="V23" s="56">
        <f>IF(V$1&lt;=$B23,0,1-_xlfn.POISSON.DIST(V$1,$B23,FALSE)/(_xlfn.POISSON.DIST(V$1,$B23,FALSE)+(1-$B23/V$1)*_xlfn.POISSON.DIST(V$1-1,$B23,TRUE))*EXP(-(V$1-$B23)*'Staffing Calculator'!$B$5/'Staffing Calculator'!$B$6))</f>
        <v/>
      </c>
      <c r="W23" s="56">
        <f>IF(W$1&lt;=$B23,0,1-_xlfn.POISSON.DIST(W$1,$B23,FALSE)/(_xlfn.POISSON.DIST(W$1,$B23,FALSE)+(1-$B23/W$1)*_xlfn.POISSON.DIST(W$1-1,$B23,TRUE))*EXP(-(W$1-$B23)*'Staffing Calculator'!$B$5/'Staffing Calculator'!$B$6))</f>
        <v/>
      </c>
      <c r="X23" s="56">
        <f>IF(X$1&lt;=$B23,0,1-_xlfn.POISSON.DIST(X$1,$B23,FALSE)/(_xlfn.POISSON.DIST(X$1,$B23,FALSE)+(1-$B23/X$1)*_xlfn.POISSON.DIST(X$1-1,$B23,TRUE))*EXP(-(X$1-$B23)*'Staffing Calculator'!$B$5/'Staffing Calculator'!$B$6))</f>
        <v/>
      </c>
      <c r="Y23" s="56">
        <f>IF(Y$1&lt;=$B23,0,1-_xlfn.POISSON.DIST(Y$1,$B23,FALSE)/(_xlfn.POISSON.DIST(Y$1,$B23,FALSE)+(1-$B23/Y$1)*_xlfn.POISSON.DIST(Y$1-1,$B23,TRUE))*EXP(-(Y$1-$B23)*'Staffing Calculator'!$B$5/'Staffing Calculator'!$B$6))</f>
        <v/>
      </c>
      <c r="Z23" s="56">
        <f>IF(Z$1&lt;=$B23,0,1-_xlfn.POISSON.DIST(Z$1,$B23,FALSE)/(_xlfn.POISSON.DIST(Z$1,$B23,FALSE)+(1-$B23/Z$1)*_xlfn.POISSON.DIST(Z$1-1,$B23,TRUE))*EXP(-(Z$1-$B23)*'Staffing Calculator'!$B$5/'Staffing Calculator'!$B$6))</f>
        <v/>
      </c>
      <c r="AA23" s="56">
        <f>IF(AA$1&lt;=$B23,0,1-_xlfn.POISSON.DIST(AA$1,$B23,FALSE)/(_xlfn.POISSON.DIST(AA$1,$B23,FALSE)+(1-$B23/AA$1)*_xlfn.POISSON.DIST(AA$1-1,$B23,TRUE))*EXP(-(AA$1-$B23)*'Staffing Calculator'!$B$5/'Staffing Calculator'!$B$6))</f>
        <v/>
      </c>
      <c r="AB23" s="56">
        <f>IF(AB$1&lt;=$B23,0,1-_xlfn.POISSON.DIST(AB$1,$B23,FALSE)/(_xlfn.POISSON.DIST(AB$1,$B23,FALSE)+(1-$B23/AB$1)*_xlfn.POISSON.DIST(AB$1-1,$B23,TRUE))*EXP(-(AB$1-$B23)*'Staffing Calculator'!$B$5/'Staffing Calculator'!$B$6))</f>
        <v/>
      </c>
      <c r="AC23" s="56">
        <f>IF(AC$1&lt;=$B23,0,1-_xlfn.POISSON.DIST(AC$1,$B23,FALSE)/(_xlfn.POISSON.DIST(AC$1,$B23,FALSE)+(1-$B23/AC$1)*_xlfn.POISSON.DIST(AC$1-1,$B23,TRUE))*EXP(-(AC$1-$B23)*'Staffing Calculator'!$B$5/'Staffing Calculator'!$B$6))</f>
        <v/>
      </c>
      <c r="AD23" s="56">
        <f>IF(AD$1&lt;=$B23,0,1-_xlfn.POISSON.DIST(AD$1,$B23,FALSE)/(_xlfn.POISSON.DIST(AD$1,$B23,FALSE)+(1-$B23/AD$1)*_xlfn.POISSON.DIST(AD$1-1,$B23,TRUE))*EXP(-(AD$1-$B23)*'Staffing Calculator'!$B$5/'Staffing Calculator'!$B$6))</f>
        <v/>
      </c>
      <c r="AE23" s="56">
        <f>IF(AE$1&lt;=$B23,0,1-_xlfn.POISSON.DIST(AE$1,$B23,FALSE)/(_xlfn.POISSON.DIST(AE$1,$B23,FALSE)+(1-$B23/AE$1)*_xlfn.POISSON.DIST(AE$1-1,$B23,TRUE))*EXP(-(AE$1-$B23)*'Staffing Calculator'!$B$5/'Staffing Calculator'!$B$6))</f>
        <v/>
      </c>
      <c r="AF23" s="56">
        <f>IF(AF$1&lt;=$B23,0,1-_xlfn.POISSON.DIST(AF$1,$B23,FALSE)/(_xlfn.POISSON.DIST(AF$1,$B23,FALSE)+(1-$B23/AF$1)*_xlfn.POISSON.DIST(AF$1-1,$B23,TRUE))*EXP(-(AF$1-$B23)*'Staffing Calculator'!$B$5/'Staffing Calculator'!$B$6))</f>
        <v/>
      </c>
      <c r="AG23" s="56">
        <f>IF(AG$1&lt;=$B23,0,1-_xlfn.POISSON.DIST(AG$1,$B23,FALSE)/(_xlfn.POISSON.DIST(AG$1,$B23,FALSE)+(1-$B23/AG$1)*_xlfn.POISSON.DIST(AG$1-1,$B23,TRUE))*EXP(-(AG$1-$B23)*'Staffing Calculator'!$B$5/'Staffing Calculator'!$B$6))</f>
        <v/>
      </c>
      <c r="AH23" s="56">
        <f>IF(AH$1&lt;=$B23,0,1-_xlfn.POISSON.DIST(AH$1,$B23,FALSE)/(_xlfn.POISSON.DIST(AH$1,$B23,FALSE)+(1-$B23/AH$1)*_xlfn.POISSON.DIST(AH$1-1,$B23,TRUE))*EXP(-(AH$1-$B23)*'Staffing Calculator'!$B$5/'Staffing Calculator'!$B$6))</f>
        <v/>
      </c>
      <c r="AI23" s="56">
        <f>IF(AI$1&lt;=$B23,0,1-_xlfn.POISSON.DIST(AI$1,$B23,FALSE)/(_xlfn.POISSON.DIST(AI$1,$B23,FALSE)+(1-$B23/AI$1)*_xlfn.POISSON.DIST(AI$1-1,$B23,TRUE))*EXP(-(AI$1-$B23)*'Staffing Calculator'!$B$5/'Staffing Calculator'!$B$6))</f>
        <v/>
      </c>
      <c r="AJ23" s="56">
        <f>IF(AJ$1&lt;=$B23,0,1-_xlfn.POISSON.DIST(AJ$1,$B23,FALSE)/(_xlfn.POISSON.DIST(AJ$1,$B23,FALSE)+(1-$B23/AJ$1)*_xlfn.POISSON.DIST(AJ$1-1,$B23,TRUE))*EXP(-(AJ$1-$B23)*'Staffing Calculator'!$B$5/'Staffing Calculator'!$B$6))</f>
        <v/>
      </c>
      <c r="AK23" s="56">
        <f>IF(AK$1&lt;=$B23,0,1-_xlfn.POISSON.DIST(AK$1,$B23,FALSE)/(_xlfn.POISSON.DIST(AK$1,$B23,FALSE)+(1-$B23/AK$1)*_xlfn.POISSON.DIST(AK$1-1,$B23,TRUE))*EXP(-(AK$1-$B23)*'Staffing Calculator'!$B$5/'Staffing Calculator'!$B$6))</f>
        <v/>
      </c>
      <c r="AL23" s="56">
        <f>IF(AL$1&lt;=$B23,0,1-_xlfn.POISSON.DIST(AL$1,$B23,FALSE)/(_xlfn.POISSON.DIST(AL$1,$B23,FALSE)+(1-$B23/AL$1)*_xlfn.POISSON.DIST(AL$1-1,$B23,TRUE))*EXP(-(AL$1-$B23)*'Staffing Calculator'!$B$5/'Staffing Calculator'!$B$6))</f>
        <v/>
      </c>
      <c r="AM23" s="56">
        <f>IF(AM$1&lt;=$B23,0,1-_xlfn.POISSON.DIST(AM$1,$B23,FALSE)/(_xlfn.POISSON.DIST(AM$1,$B23,FALSE)+(1-$B23/AM$1)*_xlfn.POISSON.DIST(AM$1-1,$B23,TRUE))*EXP(-(AM$1-$B23)*'Staffing Calculator'!$B$5/'Staffing Calculator'!$B$6))</f>
        <v/>
      </c>
      <c r="AN23" s="56">
        <f>IF(AN$1&lt;=$B23,0,1-_xlfn.POISSON.DIST(AN$1,$B23,FALSE)/(_xlfn.POISSON.DIST(AN$1,$B23,FALSE)+(1-$B23/AN$1)*_xlfn.POISSON.DIST(AN$1-1,$B23,TRUE))*EXP(-(AN$1-$B23)*'Staffing Calculator'!$B$5/'Staffing Calculator'!$B$6))</f>
        <v/>
      </c>
      <c r="AO23" s="56">
        <f>IF(AO$1&lt;=$B23,0,1-_xlfn.POISSON.DIST(AO$1,$B23,FALSE)/(_xlfn.POISSON.DIST(AO$1,$B23,FALSE)+(1-$B23/AO$1)*_xlfn.POISSON.DIST(AO$1-1,$B23,TRUE))*EXP(-(AO$1-$B23)*'Staffing Calculator'!$B$5/'Staffing Calculator'!$B$6))</f>
        <v/>
      </c>
      <c r="AP23" s="56">
        <f>IF(AP$1&lt;=$B23,0,1-_xlfn.POISSON.DIST(AP$1,$B23,FALSE)/(_xlfn.POISSON.DIST(AP$1,$B23,FALSE)+(1-$B23/AP$1)*_xlfn.POISSON.DIST(AP$1-1,$B23,TRUE))*EXP(-(AP$1-$B23)*'Staffing Calculator'!$B$5/'Staffing Calculator'!$B$6))</f>
        <v/>
      </c>
      <c r="AQ23" s="56">
        <f>IF(AQ$1&lt;=$B23,0,1-_xlfn.POISSON.DIST(AQ$1,$B23,FALSE)/(_xlfn.POISSON.DIST(AQ$1,$B23,FALSE)+(1-$B23/AQ$1)*_xlfn.POISSON.DIST(AQ$1-1,$B23,TRUE))*EXP(-(AQ$1-$B23)*'Staffing Calculator'!$B$5/'Staffing Calculator'!$B$6))</f>
        <v/>
      </c>
      <c r="AR23" s="56">
        <f>IF(AR$1&lt;=$B23,0,1-_xlfn.POISSON.DIST(AR$1,$B23,FALSE)/(_xlfn.POISSON.DIST(AR$1,$B23,FALSE)+(1-$B23/AR$1)*_xlfn.POISSON.DIST(AR$1-1,$B23,TRUE))*EXP(-(AR$1-$B23)*'Staffing Calculator'!$B$5/'Staffing Calculator'!$B$6))</f>
        <v/>
      </c>
      <c r="AS23" s="56">
        <f>IF(AS$1&lt;=$B23,0,1-_xlfn.POISSON.DIST(AS$1,$B23,FALSE)/(_xlfn.POISSON.DIST(AS$1,$B23,FALSE)+(1-$B23/AS$1)*_xlfn.POISSON.DIST(AS$1-1,$B23,TRUE))*EXP(-(AS$1-$B23)*'Staffing Calculator'!$B$5/'Staffing Calculator'!$B$6))</f>
        <v/>
      </c>
      <c r="AT23" s="56">
        <f>IF(AT$1&lt;=$B23,0,1-_xlfn.POISSON.DIST(AT$1,$B23,FALSE)/(_xlfn.POISSON.DIST(AT$1,$B23,FALSE)+(1-$B23/AT$1)*_xlfn.POISSON.DIST(AT$1-1,$B23,TRUE))*EXP(-(AT$1-$B23)*'Staffing Calculator'!$B$5/'Staffing Calculator'!$B$6))</f>
        <v/>
      </c>
      <c r="AU23" s="56">
        <f>IF(AU$1&lt;=$B23,0,1-_xlfn.POISSON.DIST(AU$1,$B23,FALSE)/(_xlfn.POISSON.DIST(AU$1,$B23,FALSE)+(1-$B23/AU$1)*_xlfn.POISSON.DIST(AU$1-1,$B23,TRUE))*EXP(-(AU$1-$B23)*'Staffing Calculator'!$B$5/'Staffing Calculator'!$B$6))</f>
        <v/>
      </c>
      <c r="AV23" s="56">
        <f>IF(AV$1&lt;=$B23,0,1-_xlfn.POISSON.DIST(AV$1,$B23,FALSE)/(_xlfn.POISSON.DIST(AV$1,$B23,FALSE)+(1-$B23/AV$1)*_xlfn.POISSON.DIST(AV$1-1,$B23,TRUE))*EXP(-(AV$1-$B23)*'Staffing Calculator'!$B$5/'Staffing Calculator'!$B$6))</f>
        <v/>
      </c>
      <c r="AW23" s="56">
        <f>IF(AW$1&lt;=$B23,0,1-_xlfn.POISSON.DIST(AW$1,$B23,FALSE)/(_xlfn.POISSON.DIST(AW$1,$B23,FALSE)+(1-$B23/AW$1)*_xlfn.POISSON.DIST(AW$1-1,$B23,TRUE))*EXP(-(AW$1-$B23)*'Staffing Calculator'!$B$5/'Staffing Calculator'!$B$6))</f>
        <v/>
      </c>
      <c r="AX23" s="56">
        <f>IF(AX$1&lt;=$B23,0,1-_xlfn.POISSON.DIST(AX$1,$B23,FALSE)/(_xlfn.POISSON.DIST(AX$1,$B23,FALSE)+(1-$B23/AX$1)*_xlfn.POISSON.DIST(AX$1-1,$B23,TRUE))*EXP(-(AX$1-$B23)*'Staffing Calculator'!$B$5/'Staffing Calculator'!$B$6))</f>
        <v/>
      </c>
      <c r="AY23" s="56">
        <f>IF(AY$1&lt;=$B23,0,1-_xlfn.POISSON.DIST(AY$1,$B23,FALSE)/(_xlfn.POISSON.DIST(AY$1,$B23,FALSE)+(1-$B23/AY$1)*_xlfn.POISSON.DIST(AY$1-1,$B23,TRUE))*EXP(-(AY$1-$B23)*'Staffing Calculator'!$B$5/'Staffing Calculator'!$B$6))</f>
        <v/>
      </c>
      <c r="AZ23" s="56">
        <f>IF(AZ$1&lt;=$B23,0,1-_xlfn.POISSON.DIST(AZ$1,$B23,FALSE)/(_xlfn.POISSON.DIST(AZ$1,$B23,FALSE)+(1-$B23/AZ$1)*_xlfn.POISSON.DIST(AZ$1-1,$B23,TRUE))*EXP(-(AZ$1-$B23)*'Staffing Calculator'!$B$5/'Staffing Calculator'!$B$6))</f>
        <v/>
      </c>
      <c r="BA23" s="56">
        <f>IF(BA$1&lt;=$B23,0,1-_xlfn.POISSON.DIST(BA$1,$B23,FALSE)/(_xlfn.POISSON.DIST(BA$1,$B23,FALSE)+(1-$B23/BA$1)*_xlfn.POISSON.DIST(BA$1-1,$B23,TRUE))*EXP(-(BA$1-$B23)*'Staffing Calculator'!$B$5/'Staffing Calculator'!$B$6))</f>
        <v/>
      </c>
      <c r="BB23" s="56">
        <f>IF(BB$1&lt;=$B23,0,1-_xlfn.POISSON.DIST(BB$1,$B23,FALSE)/(_xlfn.POISSON.DIST(BB$1,$B23,FALSE)+(1-$B23/BB$1)*_xlfn.POISSON.DIST(BB$1-1,$B23,TRUE))*EXP(-(BB$1-$B23)*'Staffing Calculator'!$B$5/'Staffing Calculator'!$B$6))</f>
        <v/>
      </c>
      <c r="BC23" s="56">
        <f>IF(BC$1&lt;=$B23,0,1-_xlfn.POISSON.DIST(BC$1,$B23,FALSE)/(_xlfn.POISSON.DIST(BC$1,$B23,FALSE)+(1-$B23/BC$1)*_xlfn.POISSON.DIST(BC$1-1,$B23,TRUE))*EXP(-(BC$1-$B23)*'Staffing Calculator'!$B$5/'Staffing Calculator'!$B$6))</f>
        <v/>
      </c>
      <c r="BD23" s="56">
        <f>IF(BD$1&lt;=$B23,0,1-_xlfn.POISSON.DIST(BD$1,$B23,FALSE)/(_xlfn.POISSON.DIST(BD$1,$B23,FALSE)+(1-$B23/BD$1)*_xlfn.POISSON.DIST(BD$1-1,$B23,TRUE))*EXP(-(BD$1-$B23)*'Staffing Calculator'!$B$5/'Staffing Calculator'!$B$6))</f>
        <v/>
      </c>
      <c r="BE23" s="56">
        <f>IF(BE$1&lt;=$B23,0,1-_xlfn.POISSON.DIST(BE$1,$B23,FALSE)/(_xlfn.POISSON.DIST(BE$1,$B23,FALSE)+(1-$B23/BE$1)*_xlfn.POISSON.DIST(BE$1-1,$B23,TRUE))*EXP(-(BE$1-$B23)*'Staffing Calculator'!$B$5/'Staffing Calculator'!$B$6))</f>
        <v/>
      </c>
      <c r="BF23" s="56">
        <f>IF(BF$1&lt;=$B23,0,1-_xlfn.POISSON.DIST(BF$1,$B23,FALSE)/(_xlfn.POISSON.DIST(BF$1,$B23,FALSE)+(1-$B23/BF$1)*_xlfn.POISSON.DIST(BF$1-1,$B23,TRUE))*EXP(-(BF$1-$B23)*'Staffing Calculator'!$B$5/'Staffing Calculator'!$B$6))</f>
        <v/>
      </c>
      <c r="BG23" s="56">
        <f>IF(BG$1&lt;=$B23,0,1-_xlfn.POISSON.DIST(BG$1,$B23,FALSE)/(_xlfn.POISSON.DIST(BG$1,$B23,FALSE)+(1-$B23/BG$1)*_xlfn.POISSON.DIST(BG$1-1,$B23,TRUE))*EXP(-(BG$1-$B23)*'Staffing Calculator'!$B$5/'Staffing Calculator'!$B$6))</f>
        <v/>
      </c>
      <c r="BH23" s="56">
        <f>IF(BH$1&lt;=$B23,0,1-_xlfn.POISSON.DIST(BH$1,$B23,FALSE)/(_xlfn.POISSON.DIST(BH$1,$B23,FALSE)+(1-$B23/BH$1)*_xlfn.POISSON.DIST(BH$1-1,$B23,TRUE))*EXP(-(BH$1-$B23)*'Staffing Calculator'!$B$5/'Staffing Calculator'!$B$6))</f>
        <v/>
      </c>
      <c r="BI23" s="56">
        <f>IF(BI$1&lt;=$B23,0,1-_xlfn.POISSON.DIST(BI$1,$B23,FALSE)/(_xlfn.POISSON.DIST(BI$1,$B23,FALSE)+(1-$B23/BI$1)*_xlfn.POISSON.DIST(BI$1-1,$B23,TRUE))*EXP(-(BI$1-$B23)*'Staffing Calculator'!$B$5/'Staffing Calculator'!$B$6))</f>
        <v/>
      </c>
      <c r="BJ23" s="56">
        <f>IF(BJ$1&lt;=$B23,0,1-_xlfn.POISSON.DIST(BJ$1,$B23,FALSE)/(_xlfn.POISSON.DIST(BJ$1,$B23,FALSE)+(1-$B23/BJ$1)*_xlfn.POISSON.DIST(BJ$1-1,$B23,TRUE))*EXP(-(BJ$1-$B23)*'Staffing Calculator'!$B$5/'Staffing Calculator'!$B$6))</f>
        <v/>
      </c>
    </row>
    <row r="24">
      <c r="A24" s="54">
        <f>'Staffing Calculator'!A24</f>
        <v/>
      </c>
      <c r="B24" s="55">
        <f>'Staffing Calculator'!C24</f>
        <v/>
      </c>
      <c r="C24" s="56">
        <f>IF(C$1&lt;=$B24,0,1-_xlfn.POISSON.DIST(C$1,$B24,FALSE)/(_xlfn.POISSON.DIST(C$1,$B24,FALSE)+(1-$B24/C$1)*_xlfn.POISSON.DIST(C$1-1,$B24,TRUE))*EXP(-(C$1-$B24)*'Staffing Calculator'!$B$5/'Staffing Calculator'!$B$6))</f>
        <v/>
      </c>
      <c r="D24" s="56">
        <f>IF(D$1&lt;=$B24,0,1-_xlfn.POISSON.DIST(D$1,$B24,FALSE)/(_xlfn.POISSON.DIST(D$1,$B24,FALSE)+(1-$B24/D$1)*_xlfn.POISSON.DIST(D$1-1,$B24,TRUE))*EXP(-(D$1-$B24)*'Staffing Calculator'!$B$5/'Staffing Calculator'!$B$6))</f>
        <v/>
      </c>
      <c r="E24" s="56">
        <f>IF(E$1&lt;=$B24,0,1-_xlfn.POISSON.DIST(E$1,$B24,FALSE)/(_xlfn.POISSON.DIST(E$1,$B24,FALSE)+(1-$B24/E$1)*_xlfn.POISSON.DIST(E$1-1,$B24,TRUE))*EXP(-(E$1-$B24)*'Staffing Calculator'!$B$5/'Staffing Calculator'!$B$6))</f>
        <v/>
      </c>
      <c r="F24" s="56">
        <f>IF(F$1&lt;=$B24,0,1-_xlfn.POISSON.DIST(F$1,$B24,FALSE)/(_xlfn.POISSON.DIST(F$1,$B24,FALSE)+(1-$B24/F$1)*_xlfn.POISSON.DIST(F$1-1,$B24,TRUE))*EXP(-(F$1-$B24)*'Staffing Calculator'!$B$5/'Staffing Calculator'!$B$6))</f>
        <v/>
      </c>
      <c r="G24" s="56">
        <f>IF(G$1&lt;=$B24,0,1-_xlfn.POISSON.DIST(G$1,$B24,FALSE)/(_xlfn.POISSON.DIST(G$1,$B24,FALSE)+(1-$B24/G$1)*_xlfn.POISSON.DIST(G$1-1,$B24,TRUE))*EXP(-(G$1-$B24)*'Staffing Calculator'!$B$5/'Staffing Calculator'!$B$6))</f>
        <v/>
      </c>
      <c r="H24" s="56">
        <f>IF(H$1&lt;=$B24,0,1-_xlfn.POISSON.DIST(H$1,$B24,FALSE)/(_xlfn.POISSON.DIST(H$1,$B24,FALSE)+(1-$B24/H$1)*_xlfn.POISSON.DIST(H$1-1,$B24,TRUE))*EXP(-(H$1-$B24)*'Staffing Calculator'!$B$5/'Staffing Calculator'!$B$6))</f>
        <v/>
      </c>
      <c r="I24" s="56">
        <f>IF(I$1&lt;=$B24,0,1-_xlfn.POISSON.DIST(I$1,$B24,FALSE)/(_xlfn.POISSON.DIST(I$1,$B24,FALSE)+(1-$B24/I$1)*_xlfn.POISSON.DIST(I$1-1,$B24,TRUE))*EXP(-(I$1-$B24)*'Staffing Calculator'!$B$5/'Staffing Calculator'!$B$6))</f>
        <v/>
      </c>
      <c r="J24" s="56">
        <f>IF(J$1&lt;=$B24,0,1-_xlfn.POISSON.DIST(J$1,$B24,FALSE)/(_xlfn.POISSON.DIST(J$1,$B24,FALSE)+(1-$B24/J$1)*_xlfn.POISSON.DIST(J$1-1,$B24,TRUE))*EXP(-(J$1-$B24)*'Staffing Calculator'!$B$5/'Staffing Calculator'!$B$6))</f>
        <v/>
      </c>
      <c r="K24" s="56">
        <f>IF(K$1&lt;=$B24,0,1-_xlfn.POISSON.DIST(K$1,$B24,FALSE)/(_xlfn.POISSON.DIST(K$1,$B24,FALSE)+(1-$B24/K$1)*_xlfn.POISSON.DIST(K$1-1,$B24,TRUE))*EXP(-(K$1-$B24)*'Staffing Calculator'!$B$5/'Staffing Calculator'!$B$6))</f>
        <v/>
      </c>
      <c r="L24" s="56">
        <f>IF(L$1&lt;=$B24,0,1-_xlfn.POISSON.DIST(L$1,$B24,FALSE)/(_xlfn.POISSON.DIST(L$1,$B24,FALSE)+(1-$B24/L$1)*_xlfn.POISSON.DIST(L$1-1,$B24,TRUE))*EXP(-(L$1-$B24)*'Staffing Calculator'!$B$5/'Staffing Calculator'!$B$6))</f>
        <v/>
      </c>
      <c r="M24" s="56">
        <f>IF(M$1&lt;=$B24,0,1-_xlfn.POISSON.DIST(M$1,$B24,FALSE)/(_xlfn.POISSON.DIST(M$1,$B24,FALSE)+(1-$B24/M$1)*_xlfn.POISSON.DIST(M$1-1,$B24,TRUE))*EXP(-(M$1-$B24)*'Staffing Calculator'!$B$5/'Staffing Calculator'!$B$6))</f>
        <v/>
      </c>
      <c r="N24" s="56">
        <f>IF(N$1&lt;=$B24,0,1-_xlfn.POISSON.DIST(N$1,$B24,FALSE)/(_xlfn.POISSON.DIST(N$1,$B24,FALSE)+(1-$B24/N$1)*_xlfn.POISSON.DIST(N$1-1,$B24,TRUE))*EXP(-(N$1-$B24)*'Staffing Calculator'!$B$5/'Staffing Calculator'!$B$6))</f>
        <v/>
      </c>
      <c r="O24" s="56">
        <f>IF(O$1&lt;=$B24,0,1-_xlfn.POISSON.DIST(O$1,$B24,FALSE)/(_xlfn.POISSON.DIST(O$1,$B24,FALSE)+(1-$B24/O$1)*_xlfn.POISSON.DIST(O$1-1,$B24,TRUE))*EXP(-(O$1-$B24)*'Staffing Calculator'!$B$5/'Staffing Calculator'!$B$6))</f>
        <v/>
      </c>
      <c r="P24" s="56">
        <f>IF(P$1&lt;=$B24,0,1-_xlfn.POISSON.DIST(P$1,$B24,FALSE)/(_xlfn.POISSON.DIST(P$1,$B24,FALSE)+(1-$B24/P$1)*_xlfn.POISSON.DIST(P$1-1,$B24,TRUE))*EXP(-(P$1-$B24)*'Staffing Calculator'!$B$5/'Staffing Calculator'!$B$6))</f>
        <v/>
      </c>
      <c r="Q24" s="56">
        <f>IF(Q$1&lt;=$B24,0,1-_xlfn.POISSON.DIST(Q$1,$B24,FALSE)/(_xlfn.POISSON.DIST(Q$1,$B24,FALSE)+(1-$B24/Q$1)*_xlfn.POISSON.DIST(Q$1-1,$B24,TRUE))*EXP(-(Q$1-$B24)*'Staffing Calculator'!$B$5/'Staffing Calculator'!$B$6))</f>
        <v/>
      </c>
      <c r="R24" s="56">
        <f>IF(R$1&lt;=$B24,0,1-_xlfn.POISSON.DIST(R$1,$B24,FALSE)/(_xlfn.POISSON.DIST(R$1,$B24,FALSE)+(1-$B24/R$1)*_xlfn.POISSON.DIST(R$1-1,$B24,TRUE))*EXP(-(R$1-$B24)*'Staffing Calculator'!$B$5/'Staffing Calculator'!$B$6))</f>
        <v/>
      </c>
      <c r="S24" s="56">
        <f>IF(S$1&lt;=$B24,0,1-_xlfn.POISSON.DIST(S$1,$B24,FALSE)/(_xlfn.POISSON.DIST(S$1,$B24,FALSE)+(1-$B24/S$1)*_xlfn.POISSON.DIST(S$1-1,$B24,TRUE))*EXP(-(S$1-$B24)*'Staffing Calculator'!$B$5/'Staffing Calculator'!$B$6))</f>
        <v/>
      </c>
      <c r="T24" s="56">
        <f>IF(T$1&lt;=$B24,0,1-_xlfn.POISSON.DIST(T$1,$B24,FALSE)/(_xlfn.POISSON.DIST(T$1,$B24,FALSE)+(1-$B24/T$1)*_xlfn.POISSON.DIST(T$1-1,$B24,TRUE))*EXP(-(T$1-$B24)*'Staffing Calculator'!$B$5/'Staffing Calculator'!$B$6))</f>
        <v/>
      </c>
      <c r="U24" s="56">
        <f>IF(U$1&lt;=$B24,0,1-_xlfn.POISSON.DIST(U$1,$B24,FALSE)/(_xlfn.POISSON.DIST(U$1,$B24,FALSE)+(1-$B24/U$1)*_xlfn.POISSON.DIST(U$1-1,$B24,TRUE))*EXP(-(U$1-$B24)*'Staffing Calculator'!$B$5/'Staffing Calculator'!$B$6))</f>
        <v/>
      </c>
      <c r="V24" s="56">
        <f>IF(V$1&lt;=$B24,0,1-_xlfn.POISSON.DIST(V$1,$B24,FALSE)/(_xlfn.POISSON.DIST(V$1,$B24,FALSE)+(1-$B24/V$1)*_xlfn.POISSON.DIST(V$1-1,$B24,TRUE))*EXP(-(V$1-$B24)*'Staffing Calculator'!$B$5/'Staffing Calculator'!$B$6))</f>
        <v/>
      </c>
      <c r="W24" s="56">
        <f>IF(W$1&lt;=$B24,0,1-_xlfn.POISSON.DIST(W$1,$B24,FALSE)/(_xlfn.POISSON.DIST(W$1,$B24,FALSE)+(1-$B24/W$1)*_xlfn.POISSON.DIST(W$1-1,$B24,TRUE))*EXP(-(W$1-$B24)*'Staffing Calculator'!$B$5/'Staffing Calculator'!$B$6))</f>
        <v/>
      </c>
      <c r="X24" s="56">
        <f>IF(X$1&lt;=$B24,0,1-_xlfn.POISSON.DIST(X$1,$B24,FALSE)/(_xlfn.POISSON.DIST(X$1,$B24,FALSE)+(1-$B24/X$1)*_xlfn.POISSON.DIST(X$1-1,$B24,TRUE))*EXP(-(X$1-$B24)*'Staffing Calculator'!$B$5/'Staffing Calculator'!$B$6))</f>
        <v/>
      </c>
      <c r="Y24" s="56">
        <f>IF(Y$1&lt;=$B24,0,1-_xlfn.POISSON.DIST(Y$1,$B24,FALSE)/(_xlfn.POISSON.DIST(Y$1,$B24,FALSE)+(1-$B24/Y$1)*_xlfn.POISSON.DIST(Y$1-1,$B24,TRUE))*EXP(-(Y$1-$B24)*'Staffing Calculator'!$B$5/'Staffing Calculator'!$B$6))</f>
        <v/>
      </c>
      <c r="Z24" s="56">
        <f>IF(Z$1&lt;=$B24,0,1-_xlfn.POISSON.DIST(Z$1,$B24,FALSE)/(_xlfn.POISSON.DIST(Z$1,$B24,FALSE)+(1-$B24/Z$1)*_xlfn.POISSON.DIST(Z$1-1,$B24,TRUE))*EXP(-(Z$1-$B24)*'Staffing Calculator'!$B$5/'Staffing Calculator'!$B$6))</f>
        <v/>
      </c>
      <c r="AA24" s="56">
        <f>IF(AA$1&lt;=$B24,0,1-_xlfn.POISSON.DIST(AA$1,$B24,FALSE)/(_xlfn.POISSON.DIST(AA$1,$B24,FALSE)+(1-$B24/AA$1)*_xlfn.POISSON.DIST(AA$1-1,$B24,TRUE))*EXP(-(AA$1-$B24)*'Staffing Calculator'!$B$5/'Staffing Calculator'!$B$6))</f>
        <v/>
      </c>
      <c r="AB24" s="56">
        <f>IF(AB$1&lt;=$B24,0,1-_xlfn.POISSON.DIST(AB$1,$B24,FALSE)/(_xlfn.POISSON.DIST(AB$1,$B24,FALSE)+(1-$B24/AB$1)*_xlfn.POISSON.DIST(AB$1-1,$B24,TRUE))*EXP(-(AB$1-$B24)*'Staffing Calculator'!$B$5/'Staffing Calculator'!$B$6))</f>
        <v/>
      </c>
      <c r="AC24" s="56">
        <f>IF(AC$1&lt;=$B24,0,1-_xlfn.POISSON.DIST(AC$1,$B24,FALSE)/(_xlfn.POISSON.DIST(AC$1,$B24,FALSE)+(1-$B24/AC$1)*_xlfn.POISSON.DIST(AC$1-1,$B24,TRUE))*EXP(-(AC$1-$B24)*'Staffing Calculator'!$B$5/'Staffing Calculator'!$B$6))</f>
        <v/>
      </c>
      <c r="AD24" s="56">
        <f>IF(AD$1&lt;=$B24,0,1-_xlfn.POISSON.DIST(AD$1,$B24,FALSE)/(_xlfn.POISSON.DIST(AD$1,$B24,FALSE)+(1-$B24/AD$1)*_xlfn.POISSON.DIST(AD$1-1,$B24,TRUE))*EXP(-(AD$1-$B24)*'Staffing Calculator'!$B$5/'Staffing Calculator'!$B$6))</f>
        <v/>
      </c>
      <c r="AE24" s="56">
        <f>IF(AE$1&lt;=$B24,0,1-_xlfn.POISSON.DIST(AE$1,$B24,FALSE)/(_xlfn.POISSON.DIST(AE$1,$B24,FALSE)+(1-$B24/AE$1)*_xlfn.POISSON.DIST(AE$1-1,$B24,TRUE))*EXP(-(AE$1-$B24)*'Staffing Calculator'!$B$5/'Staffing Calculator'!$B$6))</f>
        <v/>
      </c>
      <c r="AF24" s="56">
        <f>IF(AF$1&lt;=$B24,0,1-_xlfn.POISSON.DIST(AF$1,$B24,FALSE)/(_xlfn.POISSON.DIST(AF$1,$B24,FALSE)+(1-$B24/AF$1)*_xlfn.POISSON.DIST(AF$1-1,$B24,TRUE))*EXP(-(AF$1-$B24)*'Staffing Calculator'!$B$5/'Staffing Calculator'!$B$6))</f>
        <v/>
      </c>
      <c r="AG24" s="56">
        <f>IF(AG$1&lt;=$B24,0,1-_xlfn.POISSON.DIST(AG$1,$B24,FALSE)/(_xlfn.POISSON.DIST(AG$1,$B24,FALSE)+(1-$B24/AG$1)*_xlfn.POISSON.DIST(AG$1-1,$B24,TRUE))*EXP(-(AG$1-$B24)*'Staffing Calculator'!$B$5/'Staffing Calculator'!$B$6))</f>
        <v/>
      </c>
      <c r="AH24" s="56">
        <f>IF(AH$1&lt;=$B24,0,1-_xlfn.POISSON.DIST(AH$1,$B24,FALSE)/(_xlfn.POISSON.DIST(AH$1,$B24,FALSE)+(1-$B24/AH$1)*_xlfn.POISSON.DIST(AH$1-1,$B24,TRUE))*EXP(-(AH$1-$B24)*'Staffing Calculator'!$B$5/'Staffing Calculator'!$B$6))</f>
        <v/>
      </c>
      <c r="AI24" s="56">
        <f>IF(AI$1&lt;=$B24,0,1-_xlfn.POISSON.DIST(AI$1,$B24,FALSE)/(_xlfn.POISSON.DIST(AI$1,$B24,FALSE)+(1-$B24/AI$1)*_xlfn.POISSON.DIST(AI$1-1,$B24,TRUE))*EXP(-(AI$1-$B24)*'Staffing Calculator'!$B$5/'Staffing Calculator'!$B$6))</f>
        <v/>
      </c>
      <c r="AJ24" s="56">
        <f>IF(AJ$1&lt;=$B24,0,1-_xlfn.POISSON.DIST(AJ$1,$B24,FALSE)/(_xlfn.POISSON.DIST(AJ$1,$B24,FALSE)+(1-$B24/AJ$1)*_xlfn.POISSON.DIST(AJ$1-1,$B24,TRUE))*EXP(-(AJ$1-$B24)*'Staffing Calculator'!$B$5/'Staffing Calculator'!$B$6))</f>
        <v/>
      </c>
      <c r="AK24" s="56">
        <f>IF(AK$1&lt;=$B24,0,1-_xlfn.POISSON.DIST(AK$1,$B24,FALSE)/(_xlfn.POISSON.DIST(AK$1,$B24,FALSE)+(1-$B24/AK$1)*_xlfn.POISSON.DIST(AK$1-1,$B24,TRUE))*EXP(-(AK$1-$B24)*'Staffing Calculator'!$B$5/'Staffing Calculator'!$B$6))</f>
        <v/>
      </c>
      <c r="AL24" s="56">
        <f>IF(AL$1&lt;=$B24,0,1-_xlfn.POISSON.DIST(AL$1,$B24,FALSE)/(_xlfn.POISSON.DIST(AL$1,$B24,FALSE)+(1-$B24/AL$1)*_xlfn.POISSON.DIST(AL$1-1,$B24,TRUE))*EXP(-(AL$1-$B24)*'Staffing Calculator'!$B$5/'Staffing Calculator'!$B$6))</f>
        <v/>
      </c>
      <c r="AM24" s="56">
        <f>IF(AM$1&lt;=$B24,0,1-_xlfn.POISSON.DIST(AM$1,$B24,FALSE)/(_xlfn.POISSON.DIST(AM$1,$B24,FALSE)+(1-$B24/AM$1)*_xlfn.POISSON.DIST(AM$1-1,$B24,TRUE))*EXP(-(AM$1-$B24)*'Staffing Calculator'!$B$5/'Staffing Calculator'!$B$6))</f>
        <v/>
      </c>
      <c r="AN24" s="56">
        <f>IF(AN$1&lt;=$B24,0,1-_xlfn.POISSON.DIST(AN$1,$B24,FALSE)/(_xlfn.POISSON.DIST(AN$1,$B24,FALSE)+(1-$B24/AN$1)*_xlfn.POISSON.DIST(AN$1-1,$B24,TRUE))*EXP(-(AN$1-$B24)*'Staffing Calculator'!$B$5/'Staffing Calculator'!$B$6))</f>
        <v/>
      </c>
      <c r="AO24" s="56">
        <f>IF(AO$1&lt;=$B24,0,1-_xlfn.POISSON.DIST(AO$1,$B24,FALSE)/(_xlfn.POISSON.DIST(AO$1,$B24,FALSE)+(1-$B24/AO$1)*_xlfn.POISSON.DIST(AO$1-1,$B24,TRUE))*EXP(-(AO$1-$B24)*'Staffing Calculator'!$B$5/'Staffing Calculator'!$B$6))</f>
        <v/>
      </c>
      <c r="AP24" s="56">
        <f>IF(AP$1&lt;=$B24,0,1-_xlfn.POISSON.DIST(AP$1,$B24,FALSE)/(_xlfn.POISSON.DIST(AP$1,$B24,FALSE)+(1-$B24/AP$1)*_xlfn.POISSON.DIST(AP$1-1,$B24,TRUE))*EXP(-(AP$1-$B24)*'Staffing Calculator'!$B$5/'Staffing Calculator'!$B$6))</f>
        <v/>
      </c>
      <c r="AQ24" s="56">
        <f>IF(AQ$1&lt;=$B24,0,1-_xlfn.POISSON.DIST(AQ$1,$B24,FALSE)/(_xlfn.POISSON.DIST(AQ$1,$B24,FALSE)+(1-$B24/AQ$1)*_xlfn.POISSON.DIST(AQ$1-1,$B24,TRUE))*EXP(-(AQ$1-$B24)*'Staffing Calculator'!$B$5/'Staffing Calculator'!$B$6))</f>
        <v/>
      </c>
      <c r="AR24" s="56">
        <f>IF(AR$1&lt;=$B24,0,1-_xlfn.POISSON.DIST(AR$1,$B24,FALSE)/(_xlfn.POISSON.DIST(AR$1,$B24,FALSE)+(1-$B24/AR$1)*_xlfn.POISSON.DIST(AR$1-1,$B24,TRUE))*EXP(-(AR$1-$B24)*'Staffing Calculator'!$B$5/'Staffing Calculator'!$B$6))</f>
        <v/>
      </c>
      <c r="AS24" s="56">
        <f>IF(AS$1&lt;=$B24,0,1-_xlfn.POISSON.DIST(AS$1,$B24,FALSE)/(_xlfn.POISSON.DIST(AS$1,$B24,FALSE)+(1-$B24/AS$1)*_xlfn.POISSON.DIST(AS$1-1,$B24,TRUE))*EXP(-(AS$1-$B24)*'Staffing Calculator'!$B$5/'Staffing Calculator'!$B$6))</f>
        <v/>
      </c>
      <c r="AT24" s="56">
        <f>IF(AT$1&lt;=$B24,0,1-_xlfn.POISSON.DIST(AT$1,$B24,FALSE)/(_xlfn.POISSON.DIST(AT$1,$B24,FALSE)+(1-$B24/AT$1)*_xlfn.POISSON.DIST(AT$1-1,$B24,TRUE))*EXP(-(AT$1-$B24)*'Staffing Calculator'!$B$5/'Staffing Calculator'!$B$6))</f>
        <v/>
      </c>
      <c r="AU24" s="56">
        <f>IF(AU$1&lt;=$B24,0,1-_xlfn.POISSON.DIST(AU$1,$B24,FALSE)/(_xlfn.POISSON.DIST(AU$1,$B24,FALSE)+(1-$B24/AU$1)*_xlfn.POISSON.DIST(AU$1-1,$B24,TRUE))*EXP(-(AU$1-$B24)*'Staffing Calculator'!$B$5/'Staffing Calculator'!$B$6))</f>
        <v/>
      </c>
      <c r="AV24" s="56">
        <f>IF(AV$1&lt;=$B24,0,1-_xlfn.POISSON.DIST(AV$1,$B24,FALSE)/(_xlfn.POISSON.DIST(AV$1,$B24,FALSE)+(1-$B24/AV$1)*_xlfn.POISSON.DIST(AV$1-1,$B24,TRUE))*EXP(-(AV$1-$B24)*'Staffing Calculator'!$B$5/'Staffing Calculator'!$B$6))</f>
        <v/>
      </c>
      <c r="AW24" s="56">
        <f>IF(AW$1&lt;=$B24,0,1-_xlfn.POISSON.DIST(AW$1,$B24,FALSE)/(_xlfn.POISSON.DIST(AW$1,$B24,FALSE)+(1-$B24/AW$1)*_xlfn.POISSON.DIST(AW$1-1,$B24,TRUE))*EXP(-(AW$1-$B24)*'Staffing Calculator'!$B$5/'Staffing Calculator'!$B$6))</f>
        <v/>
      </c>
      <c r="AX24" s="56">
        <f>IF(AX$1&lt;=$B24,0,1-_xlfn.POISSON.DIST(AX$1,$B24,FALSE)/(_xlfn.POISSON.DIST(AX$1,$B24,FALSE)+(1-$B24/AX$1)*_xlfn.POISSON.DIST(AX$1-1,$B24,TRUE))*EXP(-(AX$1-$B24)*'Staffing Calculator'!$B$5/'Staffing Calculator'!$B$6))</f>
        <v/>
      </c>
      <c r="AY24" s="56">
        <f>IF(AY$1&lt;=$B24,0,1-_xlfn.POISSON.DIST(AY$1,$B24,FALSE)/(_xlfn.POISSON.DIST(AY$1,$B24,FALSE)+(1-$B24/AY$1)*_xlfn.POISSON.DIST(AY$1-1,$B24,TRUE))*EXP(-(AY$1-$B24)*'Staffing Calculator'!$B$5/'Staffing Calculator'!$B$6))</f>
        <v/>
      </c>
      <c r="AZ24" s="56">
        <f>IF(AZ$1&lt;=$B24,0,1-_xlfn.POISSON.DIST(AZ$1,$B24,FALSE)/(_xlfn.POISSON.DIST(AZ$1,$B24,FALSE)+(1-$B24/AZ$1)*_xlfn.POISSON.DIST(AZ$1-1,$B24,TRUE))*EXP(-(AZ$1-$B24)*'Staffing Calculator'!$B$5/'Staffing Calculator'!$B$6))</f>
        <v/>
      </c>
      <c r="BA24" s="56">
        <f>IF(BA$1&lt;=$B24,0,1-_xlfn.POISSON.DIST(BA$1,$B24,FALSE)/(_xlfn.POISSON.DIST(BA$1,$B24,FALSE)+(1-$B24/BA$1)*_xlfn.POISSON.DIST(BA$1-1,$B24,TRUE))*EXP(-(BA$1-$B24)*'Staffing Calculator'!$B$5/'Staffing Calculator'!$B$6))</f>
        <v/>
      </c>
      <c r="BB24" s="56">
        <f>IF(BB$1&lt;=$B24,0,1-_xlfn.POISSON.DIST(BB$1,$B24,FALSE)/(_xlfn.POISSON.DIST(BB$1,$B24,FALSE)+(1-$B24/BB$1)*_xlfn.POISSON.DIST(BB$1-1,$B24,TRUE))*EXP(-(BB$1-$B24)*'Staffing Calculator'!$B$5/'Staffing Calculator'!$B$6))</f>
        <v/>
      </c>
      <c r="BC24" s="56">
        <f>IF(BC$1&lt;=$B24,0,1-_xlfn.POISSON.DIST(BC$1,$B24,FALSE)/(_xlfn.POISSON.DIST(BC$1,$B24,FALSE)+(1-$B24/BC$1)*_xlfn.POISSON.DIST(BC$1-1,$B24,TRUE))*EXP(-(BC$1-$B24)*'Staffing Calculator'!$B$5/'Staffing Calculator'!$B$6))</f>
        <v/>
      </c>
      <c r="BD24" s="56">
        <f>IF(BD$1&lt;=$B24,0,1-_xlfn.POISSON.DIST(BD$1,$B24,FALSE)/(_xlfn.POISSON.DIST(BD$1,$B24,FALSE)+(1-$B24/BD$1)*_xlfn.POISSON.DIST(BD$1-1,$B24,TRUE))*EXP(-(BD$1-$B24)*'Staffing Calculator'!$B$5/'Staffing Calculator'!$B$6))</f>
        <v/>
      </c>
      <c r="BE24" s="56">
        <f>IF(BE$1&lt;=$B24,0,1-_xlfn.POISSON.DIST(BE$1,$B24,FALSE)/(_xlfn.POISSON.DIST(BE$1,$B24,FALSE)+(1-$B24/BE$1)*_xlfn.POISSON.DIST(BE$1-1,$B24,TRUE))*EXP(-(BE$1-$B24)*'Staffing Calculator'!$B$5/'Staffing Calculator'!$B$6))</f>
        <v/>
      </c>
      <c r="BF24" s="56">
        <f>IF(BF$1&lt;=$B24,0,1-_xlfn.POISSON.DIST(BF$1,$B24,FALSE)/(_xlfn.POISSON.DIST(BF$1,$B24,FALSE)+(1-$B24/BF$1)*_xlfn.POISSON.DIST(BF$1-1,$B24,TRUE))*EXP(-(BF$1-$B24)*'Staffing Calculator'!$B$5/'Staffing Calculator'!$B$6))</f>
        <v/>
      </c>
      <c r="BG24" s="56">
        <f>IF(BG$1&lt;=$B24,0,1-_xlfn.POISSON.DIST(BG$1,$B24,FALSE)/(_xlfn.POISSON.DIST(BG$1,$B24,FALSE)+(1-$B24/BG$1)*_xlfn.POISSON.DIST(BG$1-1,$B24,TRUE))*EXP(-(BG$1-$B24)*'Staffing Calculator'!$B$5/'Staffing Calculator'!$B$6))</f>
        <v/>
      </c>
      <c r="BH24" s="56">
        <f>IF(BH$1&lt;=$B24,0,1-_xlfn.POISSON.DIST(BH$1,$B24,FALSE)/(_xlfn.POISSON.DIST(BH$1,$B24,FALSE)+(1-$B24/BH$1)*_xlfn.POISSON.DIST(BH$1-1,$B24,TRUE))*EXP(-(BH$1-$B24)*'Staffing Calculator'!$B$5/'Staffing Calculator'!$B$6))</f>
        <v/>
      </c>
      <c r="BI24" s="56">
        <f>IF(BI$1&lt;=$B24,0,1-_xlfn.POISSON.DIST(BI$1,$B24,FALSE)/(_xlfn.POISSON.DIST(BI$1,$B24,FALSE)+(1-$B24/BI$1)*_xlfn.POISSON.DIST(BI$1-1,$B24,TRUE))*EXP(-(BI$1-$B24)*'Staffing Calculator'!$B$5/'Staffing Calculator'!$B$6))</f>
        <v/>
      </c>
      <c r="BJ24" s="56">
        <f>IF(BJ$1&lt;=$B24,0,1-_xlfn.POISSON.DIST(BJ$1,$B24,FALSE)/(_xlfn.POISSON.DIST(BJ$1,$B24,FALSE)+(1-$B24/BJ$1)*_xlfn.POISSON.DIST(BJ$1-1,$B24,TRUE))*EXP(-(BJ$1-$B24)*'Staffing Calculator'!$B$5/'Staffing Calculator'!$B$6))</f>
        <v/>
      </c>
    </row>
    <row r="25">
      <c r="A25" s="54">
        <f>'Staffing Calculator'!A25</f>
        <v/>
      </c>
      <c r="B25" s="55">
        <f>'Staffing Calculator'!C25</f>
        <v/>
      </c>
      <c r="C25" s="56">
        <f>IF(C$1&lt;=$B25,0,1-_xlfn.POISSON.DIST(C$1,$B25,FALSE)/(_xlfn.POISSON.DIST(C$1,$B25,FALSE)+(1-$B25/C$1)*_xlfn.POISSON.DIST(C$1-1,$B25,TRUE))*EXP(-(C$1-$B25)*'Staffing Calculator'!$B$5/'Staffing Calculator'!$B$6))</f>
        <v/>
      </c>
      <c r="D25" s="56">
        <f>IF(D$1&lt;=$B25,0,1-_xlfn.POISSON.DIST(D$1,$B25,FALSE)/(_xlfn.POISSON.DIST(D$1,$B25,FALSE)+(1-$B25/D$1)*_xlfn.POISSON.DIST(D$1-1,$B25,TRUE))*EXP(-(D$1-$B25)*'Staffing Calculator'!$B$5/'Staffing Calculator'!$B$6))</f>
        <v/>
      </c>
      <c r="E25" s="56">
        <f>IF(E$1&lt;=$B25,0,1-_xlfn.POISSON.DIST(E$1,$B25,FALSE)/(_xlfn.POISSON.DIST(E$1,$B25,FALSE)+(1-$B25/E$1)*_xlfn.POISSON.DIST(E$1-1,$B25,TRUE))*EXP(-(E$1-$B25)*'Staffing Calculator'!$B$5/'Staffing Calculator'!$B$6))</f>
        <v/>
      </c>
      <c r="F25" s="56">
        <f>IF(F$1&lt;=$B25,0,1-_xlfn.POISSON.DIST(F$1,$B25,FALSE)/(_xlfn.POISSON.DIST(F$1,$B25,FALSE)+(1-$B25/F$1)*_xlfn.POISSON.DIST(F$1-1,$B25,TRUE))*EXP(-(F$1-$B25)*'Staffing Calculator'!$B$5/'Staffing Calculator'!$B$6))</f>
        <v/>
      </c>
      <c r="G25" s="56">
        <f>IF(G$1&lt;=$B25,0,1-_xlfn.POISSON.DIST(G$1,$B25,FALSE)/(_xlfn.POISSON.DIST(G$1,$B25,FALSE)+(1-$B25/G$1)*_xlfn.POISSON.DIST(G$1-1,$B25,TRUE))*EXP(-(G$1-$B25)*'Staffing Calculator'!$B$5/'Staffing Calculator'!$B$6))</f>
        <v/>
      </c>
      <c r="H25" s="56">
        <f>IF(H$1&lt;=$B25,0,1-_xlfn.POISSON.DIST(H$1,$B25,FALSE)/(_xlfn.POISSON.DIST(H$1,$B25,FALSE)+(1-$B25/H$1)*_xlfn.POISSON.DIST(H$1-1,$B25,TRUE))*EXP(-(H$1-$B25)*'Staffing Calculator'!$B$5/'Staffing Calculator'!$B$6))</f>
        <v/>
      </c>
      <c r="I25" s="56">
        <f>IF(I$1&lt;=$B25,0,1-_xlfn.POISSON.DIST(I$1,$B25,FALSE)/(_xlfn.POISSON.DIST(I$1,$B25,FALSE)+(1-$B25/I$1)*_xlfn.POISSON.DIST(I$1-1,$B25,TRUE))*EXP(-(I$1-$B25)*'Staffing Calculator'!$B$5/'Staffing Calculator'!$B$6))</f>
        <v/>
      </c>
      <c r="J25" s="56">
        <f>IF(J$1&lt;=$B25,0,1-_xlfn.POISSON.DIST(J$1,$B25,FALSE)/(_xlfn.POISSON.DIST(J$1,$B25,FALSE)+(1-$B25/J$1)*_xlfn.POISSON.DIST(J$1-1,$B25,TRUE))*EXP(-(J$1-$B25)*'Staffing Calculator'!$B$5/'Staffing Calculator'!$B$6))</f>
        <v/>
      </c>
      <c r="K25" s="56">
        <f>IF(K$1&lt;=$B25,0,1-_xlfn.POISSON.DIST(K$1,$B25,FALSE)/(_xlfn.POISSON.DIST(K$1,$B25,FALSE)+(1-$B25/K$1)*_xlfn.POISSON.DIST(K$1-1,$B25,TRUE))*EXP(-(K$1-$B25)*'Staffing Calculator'!$B$5/'Staffing Calculator'!$B$6))</f>
        <v/>
      </c>
      <c r="L25" s="56">
        <f>IF(L$1&lt;=$B25,0,1-_xlfn.POISSON.DIST(L$1,$B25,FALSE)/(_xlfn.POISSON.DIST(L$1,$B25,FALSE)+(1-$B25/L$1)*_xlfn.POISSON.DIST(L$1-1,$B25,TRUE))*EXP(-(L$1-$B25)*'Staffing Calculator'!$B$5/'Staffing Calculator'!$B$6))</f>
        <v/>
      </c>
      <c r="M25" s="56">
        <f>IF(M$1&lt;=$B25,0,1-_xlfn.POISSON.DIST(M$1,$B25,FALSE)/(_xlfn.POISSON.DIST(M$1,$B25,FALSE)+(1-$B25/M$1)*_xlfn.POISSON.DIST(M$1-1,$B25,TRUE))*EXP(-(M$1-$B25)*'Staffing Calculator'!$B$5/'Staffing Calculator'!$B$6))</f>
        <v/>
      </c>
      <c r="N25" s="56">
        <f>IF(N$1&lt;=$B25,0,1-_xlfn.POISSON.DIST(N$1,$B25,FALSE)/(_xlfn.POISSON.DIST(N$1,$B25,FALSE)+(1-$B25/N$1)*_xlfn.POISSON.DIST(N$1-1,$B25,TRUE))*EXP(-(N$1-$B25)*'Staffing Calculator'!$B$5/'Staffing Calculator'!$B$6))</f>
        <v/>
      </c>
      <c r="O25" s="56">
        <f>IF(O$1&lt;=$B25,0,1-_xlfn.POISSON.DIST(O$1,$B25,FALSE)/(_xlfn.POISSON.DIST(O$1,$B25,FALSE)+(1-$B25/O$1)*_xlfn.POISSON.DIST(O$1-1,$B25,TRUE))*EXP(-(O$1-$B25)*'Staffing Calculator'!$B$5/'Staffing Calculator'!$B$6))</f>
        <v/>
      </c>
      <c r="P25" s="56">
        <f>IF(P$1&lt;=$B25,0,1-_xlfn.POISSON.DIST(P$1,$B25,FALSE)/(_xlfn.POISSON.DIST(P$1,$B25,FALSE)+(1-$B25/P$1)*_xlfn.POISSON.DIST(P$1-1,$B25,TRUE))*EXP(-(P$1-$B25)*'Staffing Calculator'!$B$5/'Staffing Calculator'!$B$6))</f>
        <v/>
      </c>
      <c r="Q25" s="56">
        <f>IF(Q$1&lt;=$B25,0,1-_xlfn.POISSON.DIST(Q$1,$B25,FALSE)/(_xlfn.POISSON.DIST(Q$1,$B25,FALSE)+(1-$B25/Q$1)*_xlfn.POISSON.DIST(Q$1-1,$B25,TRUE))*EXP(-(Q$1-$B25)*'Staffing Calculator'!$B$5/'Staffing Calculator'!$B$6))</f>
        <v/>
      </c>
      <c r="R25" s="56">
        <f>IF(R$1&lt;=$B25,0,1-_xlfn.POISSON.DIST(R$1,$B25,FALSE)/(_xlfn.POISSON.DIST(R$1,$B25,FALSE)+(1-$B25/R$1)*_xlfn.POISSON.DIST(R$1-1,$B25,TRUE))*EXP(-(R$1-$B25)*'Staffing Calculator'!$B$5/'Staffing Calculator'!$B$6))</f>
        <v/>
      </c>
      <c r="S25" s="56">
        <f>IF(S$1&lt;=$B25,0,1-_xlfn.POISSON.DIST(S$1,$B25,FALSE)/(_xlfn.POISSON.DIST(S$1,$B25,FALSE)+(1-$B25/S$1)*_xlfn.POISSON.DIST(S$1-1,$B25,TRUE))*EXP(-(S$1-$B25)*'Staffing Calculator'!$B$5/'Staffing Calculator'!$B$6))</f>
        <v/>
      </c>
      <c r="T25" s="56">
        <f>IF(T$1&lt;=$B25,0,1-_xlfn.POISSON.DIST(T$1,$B25,FALSE)/(_xlfn.POISSON.DIST(T$1,$B25,FALSE)+(1-$B25/T$1)*_xlfn.POISSON.DIST(T$1-1,$B25,TRUE))*EXP(-(T$1-$B25)*'Staffing Calculator'!$B$5/'Staffing Calculator'!$B$6))</f>
        <v/>
      </c>
      <c r="U25" s="56">
        <f>IF(U$1&lt;=$B25,0,1-_xlfn.POISSON.DIST(U$1,$B25,FALSE)/(_xlfn.POISSON.DIST(U$1,$B25,FALSE)+(1-$B25/U$1)*_xlfn.POISSON.DIST(U$1-1,$B25,TRUE))*EXP(-(U$1-$B25)*'Staffing Calculator'!$B$5/'Staffing Calculator'!$B$6))</f>
        <v/>
      </c>
      <c r="V25" s="56">
        <f>IF(V$1&lt;=$B25,0,1-_xlfn.POISSON.DIST(V$1,$B25,FALSE)/(_xlfn.POISSON.DIST(V$1,$B25,FALSE)+(1-$B25/V$1)*_xlfn.POISSON.DIST(V$1-1,$B25,TRUE))*EXP(-(V$1-$B25)*'Staffing Calculator'!$B$5/'Staffing Calculator'!$B$6))</f>
        <v/>
      </c>
      <c r="W25" s="56">
        <f>IF(W$1&lt;=$B25,0,1-_xlfn.POISSON.DIST(W$1,$B25,FALSE)/(_xlfn.POISSON.DIST(W$1,$B25,FALSE)+(1-$B25/W$1)*_xlfn.POISSON.DIST(W$1-1,$B25,TRUE))*EXP(-(W$1-$B25)*'Staffing Calculator'!$B$5/'Staffing Calculator'!$B$6))</f>
        <v/>
      </c>
      <c r="X25" s="56">
        <f>IF(X$1&lt;=$B25,0,1-_xlfn.POISSON.DIST(X$1,$B25,FALSE)/(_xlfn.POISSON.DIST(X$1,$B25,FALSE)+(1-$B25/X$1)*_xlfn.POISSON.DIST(X$1-1,$B25,TRUE))*EXP(-(X$1-$B25)*'Staffing Calculator'!$B$5/'Staffing Calculator'!$B$6))</f>
        <v/>
      </c>
      <c r="Y25" s="56">
        <f>IF(Y$1&lt;=$B25,0,1-_xlfn.POISSON.DIST(Y$1,$B25,FALSE)/(_xlfn.POISSON.DIST(Y$1,$B25,FALSE)+(1-$B25/Y$1)*_xlfn.POISSON.DIST(Y$1-1,$B25,TRUE))*EXP(-(Y$1-$B25)*'Staffing Calculator'!$B$5/'Staffing Calculator'!$B$6))</f>
        <v/>
      </c>
      <c r="Z25" s="56">
        <f>IF(Z$1&lt;=$B25,0,1-_xlfn.POISSON.DIST(Z$1,$B25,FALSE)/(_xlfn.POISSON.DIST(Z$1,$B25,FALSE)+(1-$B25/Z$1)*_xlfn.POISSON.DIST(Z$1-1,$B25,TRUE))*EXP(-(Z$1-$B25)*'Staffing Calculator'!$B$5/'Staffing Calculator'!$B$6))</f>
        <v/>
      </c>
      <c r="AA25" s="56">
        <f>IF(AA$1&lt;=$B25,0,1-_xlfn.POISSON.DIST(AA$1,$B25,FALSE)/(_xlfn.POISSON.DIST(AA$1,$B25,FALSE)+(1-$B25/AA$1)*_xlfn.POISSON.DIST(AA$1-1,$B25,TRUE))*EXP(-(AA$1-$B25)*'Staffing Calculator'!$B$5/'Staffing Calculator'!$B$6))</f>
        <v/>
      </c>
      <c r="AB25" s="56">
        <f>IF(AB$1&lt;=$B25,0,1-_xlfn.POISSON.DIST(AB$1,$B25,FALSE)/(_xlfn.POISSON.DIST(AB$1,$B25,FALSE)+(1-$B25/AB$1)*_xlfn.POISSON.DIST(AB$1-1,$B25,TRUE))*EXP(-(AB$1-$B25)*'Staffing Calculator'!$B$5/'Staffing Calculator'!$B$6))</f>
        <v/>
      </c>
      <c r="AC25" s="56">
        <f>IF(AC$1&lt;=$B25,0,1-_xlfn.POISSON.DIST(AC$1,$B25,FALSE)/(_xlfn.POISSON.DIST(AC$1,$B25,FALSE)+(1-$B25/AC$1)*_xlfn.POISSON.DIST(AC$1-1,$B25,TRUE))*EXP(-(AC$1-$B25)*'Staffing Calculator'!$B$5/'Staffing Calculator'!$B$6))</f>
        <v/>
      </c>
      <c r="AD25" s="56">
        <f>IF(AD$1&lt;=$B25,0,1-_xlfn.POISSON.DIST(AD$1,$B25,FALSE)/(_xlfn.POISSON.DIST(AD$1,$B25,FALSE)+(1-$B25/AD$1)*_xlfn.POISSON.DIST(AD$1-1,$B25,TRUE))*EXP(-(AD$1-$B25)*'Staffing Calculator'!$B$5/'Staffing Calculator'!$B$6))</f>
        <v/>
      </c>
      <c r="AE25" s="56">
        <f>IF(AE$1&lt;=$B25,0,1-_xlfn.POISSON.DIST(AE$1,$B25,FALSE)/(_xlfn.POISSON.DIST(AE$1,$B25,FALSE)+(1-$B25/AE$1)*_xlfn.POISSON.DIST(AE$1-1,$B25,TRUE))*EXP(-(AE$1-$B25)*'Staffing Calculator'!$B$5/'Staffing Calculator'!$B$6))</f>
        <v/>
      </c>
      <c r="AF25" s="56">
        <f>IF(AF$1&lt;=$B25,0,1-_xlfn.POISSON.DIST(AF$1,$B25,FALSE)/(_xlfn.POISSON.DIST(AF$1,$B25,FALSE)+(1-$B25/AF$1)*_xlfn.POISSON.DIST(AF$1-1,$B25,TRUE))*EXP(-(AF$1-$B25)*'Staffing Calculator'!$B$5/'Staffing Calculator'!$B$6))</f>
        <v/>
      </c>
      <c r="AG25" s="56">
        <f>IF(AG$1&lt;=$B25,0,1-_xlfn.POISSON.DIST(AG$1,$B25,FALSE)/(_xlfn.POISSON.DIST(AG$1,$B25,FALSE)+(1-$B25/AG$1)*_xlfn.POISSON.DIST(AG$1-1,$B25,TRUE))*EXP(-(AG$1-$B25)*'Staffing Calculator'!$B$5/'Staffing Calculator'!$B$6))</f>
        <v/>
      </c>
      <c r="AH25" s="56">
        <f>IF(AH$1&lt;=$B25,0,1-_xlfn.POISSON.DIST(AH$1,$B25,FALSE)/(_xlfn.POISSON.DIST(AH$1,$B25,FALSE)+(1-$B25/AH$1)*_xlfn.POISSON.DIST(AH$1-1,$B25,TRUE))*EXP(-(AH$1-$B25)*'Staffing Calculator'!$B$5/'Staffing Calculator'!$B$6))</f>
        <v/>
      </c>
      <c r="AI25" s="56">
        <f>IF(AI$1&lt;=$B25,0,1-_xlfn.POISSON.DIST(AI$1,$B25,FALSE)/(_xlfn.POISSON.DIST(AI$1,$B25,FALSE)+(1-$B25/AI$1)*_xlfn.POISSON.DIST(AI$1-1,$B25,TRUE))*EXP(-(AI$1-$B25)*'Staffing Calculator'!$B$5/'Staffing Calculator'!$B$6))</f>
        <v/>
      </c>
      <c r="AJ25" s="56">
        <f>IF(AJ$1&lt;=$B25,0,1-_xlfn.POISSON.DIST(AJ$1,$B25,FALSE)/(_xlfn.POISSON.DIST(AJ$1,$B25,FALSE)+(1-$B25/AJ$1)*_xlfn.POISSON.DIST(AJ$1-1,$B25,TRUE))*EXP(-(AJ$1-$B25)*'Staffing Calculator'!$B$5/'Staffing Calculator'!$B$6))</f>
        <v/>
      </c>
      <c r="AK25" s="56">
        <f>IF(AK$1&lt;=$B25,0,1-_xlfn.POISSON.DIST(AK$1,$B25,FALSE)/(_xlfn.POISSON.DIST(AK$1,$B25,FALSE)+(1-$B25/AK$1)*_xlfn.POISSON.DIST(AK$1-1,$B25,TRUE))*EXP(-(AK$1-$B25)*'Staffing Calculator'!$B$5/'Staffing Calculator'!$B$6))</f>
        <v/>
      </c>
      <c r="AL25" s="56">
        <f>IF(AL$1&lt;=$B25,0,1-_xlfn.POISSON.DIST(AL$1,$B25,FALSE)/(_xlfn.POISSON.DIST(AL$1,$B25,FALSE)+(1-$B25/AL$1)*_xlfn.POISSON.DIST(AL$1-1,$B25,TRUE))*EXP(-(AL$1-$B25)*'Staffing Calculator'!$B$5/'Staffing Calculator'!$B$6))</f>
        <v/>
      </c>
      <c r="AM25" s="56">
        <f>IF(AM$1&lt;=$B25,0,1-_xlfn.POISSON.DIST(AM$1,$B25,FALSE)/(_xlfn.POISSON.DIST(AM$1,$B25,FALSE)+(1-$B25/AM$1)*_xlfn.POISSON.DIST(AM$1-1,$B25,TRUE))*EXP(-(AM$1-$B25)*'Staffing Calculator'!$B$5/'Staffing Calculator'!$B$6))</f>
        <v/>
      </c>
      <c r="AN25" s="56">
        <f>IF(AN$1&lt;=$B25,0,1-_xlfn.POISSON.DIST(AN$1,$B25,FALSE)/(_xlfn.POISSON.DIST(AN$1,$B25,FALSE)+(1-$B25/AN$1)*_xlfn.POISSON.DIST(AN$1-1,$B25,TRUE))*EXP(-(AN$1-$B25)*'Staffing Calculator'!$B$5/'Staffing Calculator'!$B$6))</f>
        <v/>
      </c>
      <c r="AO25" s="56">
        <f>IF(AO$1&lt;=$B25,0,1-_xlfn.POISSON.DIST(AO$1,$B25,FALSE)/(_xlfn.POISSON.DIST(AO$1,$B25,FALSE)+(1-$B25/AO$1)*_xlfn.POISSON.DIST(AO$1-1,$B25,TRUE))*EXP(-(AO$1-$B25)*'Staffing Calculator'!$B$5/'Staffing Calculator'!$B$6))</f>
        <v/>
      </c>
      <c r="AP25" s="56">
        <f>IF(AP$1&lt;=$B25,0,1-_xlfn.POISSON.DIST(AP$1,$B25,FALSE)/(_xlfn.POISSON.DIST(AP$1,$B25,FALSE)+(1-$B25/AP$1)*_xlfn.POISSON.DIST(AP$1-1,$B25,TRUE))*EXP(-(AP$1-$B25)*'Staffing Calculator'!$B$5/'Staffing Calculator'!$B$6))</f>
        <v/>
      </c>
      <c r="AQ25" s="56">
        <f>IF(AQ$1&lt;=$B25,0,1-_xlfn.POISSON.DIST(AQ$1,$B25,FALSE)/(_xlfn.POISSON.DIST(AQ$1,$B25,FALSE)+(1-$B25/AQ$1)*_xlfn.POISSON.DIST(AQ$1-1,$B25,TRUE))*EXP(-(AQ$1-$B25)*'Staffing Calculator'!$B$5/'Staffing Calculator'!$B$6))</f>
        <v/>
      </c>
      <c r="AR25" s="56">
        <f>IF(AR$1&lt;=$B25,0,1-_xlfn.POISSON.DIST(AR$1,$B25,FALSE)/(_xlfn.POISSON.DIST(AR$1,$B25,FALSE)+(1-$B25/AR$1)*_xlfn.POISSON.DIST(AR$1-1,$B25,TRUE))*EXP(-(AR$1-$B25)*'Staffing Calculator'!$B$5/'Staffing Calculator'!$B$6))</f>
        <v/>
      </c>
      <c r="AS25" s="56">
        <f>IF(AS$1&lt;=$B25,0,1-_xlfn.POISSON.DIST(AS$1,$B25,FALSE)/(_xlfn.POISSON.DIST(AS$1,$B25,FALSE)+(1-$B25/AS$1)*_xlfn.POISSON.DIST(AS$1-1,$B25,TRUE))*EXP(-(AS$1-$B25)*'Staffing Calculator'!$B$5/'Staffing Calculator'!$B$6))</f>
        <v/>
      </c>
      <c r="AT25" s="56">
        <f>IF(AT$1&lt;=$B25,0,1-_xlfn.POISSON.DIST(AT$1,$B25,FALSE)/(_xlfn.POISSON.DIST(AT$1,$B25,FALSE)+(1-$B25/AT$1)*_xlfn.POISSON.DIST(AT$1-1,$B25,TRUE))*EXP(-(AT$1-$B25)*'Staffing Calculator'!$B$5/'Staffing Calculator'!$B$6))</f>
        <v/>
      </c>
      <c r="AU25" s="56">
        <f>IF(AU$1&lt;=$B25,0,1-_xlfn.POISSON.DIST(AU$1,$B25,FALSE)/(_xlfn.POISSON.DIST(AU$1,$B25,FALSE)+(1-$B25/AU$1)*_xlfn.POISSON.DIST(AU$1-1,$B25,TRUE))*EXP(-(AU$1-$B25)*'Staffing Calculator'!$B$5/'Staffing Calculator'!$B$6))</f>
        <v/>
      </c>
      <c r="AV25" s="56">
        <f>IF(AV$1&lt;=$B25,0,1-_xlfn.POISSON.DIST(AV$1,$B25,FALSE)/(_xlfn.POISSON.DIST(AV$1,$B25,FALSE)+(1-$B25/AV$1)*_xlfn.POISSON.DIST(AV$1-1,$B25,TRUE))*EXP(-(AV$1-$B25)*'Staffing Calculator'!$B$5/'Staffing Calculator'!$B$6))</f>
        <v/>
      </c>
      <c r="AW25" s="56">
        <f>IF(AW$1&lt;=$B25,0,1-_xlfn.POISSON.DIST(AW$1,$B25,FALSE)/(_xlfn.POISSON.DIST(AW$1,$B25,FALSE)+(1-$B25/AW$1)*_xlfn.POISSON.DIST(AW$1-1,$B25,TRUE))*EXP(-(AW$1-$B25)*'Staffing Calculator'!$B$5/'Staffing Calculator'!$B$6))</f>
        <v/>
      </c>
      <c r="AX25" s="56">
        <f>IF(AX$1&lt;=$B25,0,1-_xlfn.POISSON.DIST(AX$1,$B25,FALSE)/(_xlfn.POISSON.DIST(AX$1,$B25,FALSE)+(1-$B25/AX$1)*_xlfn.POISSON.DIST(AX$1-1,$B25,TRUE))*EXP(-(AX$1-$B25)*'Staffing Calculator'!$B$5/'Staffing Calculator'!$B$6))</f>
        <v/>
      </c>
      <c r="AY25" s="56">
        <f>IF(AY$1&lt;=$B25,0,1-_xlfn.POISSON.DIST(AY$1,$B25,FALSE)/(_xlfn.POISSON.DIST(AY$1,$B25,FALSE)+(1-$B25/AY$1)*_xlfn.POISSON.DIST(AY$1-1,$B25,TRUE))*EXP(-(AY$1-$B25)*'Staffing Calculator'!$B$5/'Staffing Calculator'!$B$6))</f>
        <v/>
      </c>
      <c r="AZ25" s="56">
        <f>IF(AZ$1&lt;=$B25,0,1-_xlfn.POISSON.DIST(AZ$1,$B25,FALSE)/(_xlfn.POISSON.DIST(AZ$1,$B25,FALSE)+(1-$B25/AZ$1)*_xlfn.POISSON.DIST(AZ$1-1,$B25,TRUE))*EXP(-(AZ$1-$B25)*'Staffing Calculator'!$B$5/'Staffing Calculator'!$B$6))</f>
        <v/>
      </c>
      <c r="BA25" s="56">
        <f>IF(BA$1&lt;=$B25,0,1-_xlfn.POISSON.DIST(BA$1,$B25,FALSE)/(_xlfn.POISSON.DIST(BA$1,$B25,FALSE)+(1-$B25/BA$1)*_xlfn.POISSON.DIST(BA$1-1,$B25,TRUE))*EXP(-(BA$1-$B25)*'Staffing Calculator'!$B$5/'Staffing Calculator'!$B$6))</f>
        <v/>
      </c>
      <c r="BB25" s="56">
        <f>IF(BB$1&lt;=$B25,0,1-_xlfn.POISSON.DIST(BB$1,$B25,FALSE)/(_xlfn.POISSON.DIST(BB$1,$B25,FALSE)+(1-$B25/BB$1)*_xlfn.POISSON.DIST(BB$1-1,$B25,TRUE))*EXP(-(BB$1-$B25)*'Staffing Calculator'!$B$5/'Staffing Calculator'!$B$6))</f>
        <v/>
      </c>
      <c r="BC25" s="56">
        <f>IF(BC$1&lt;=$B25,0,1-_xlfn.POISSON.DIST(BC$1,$B25,FALSE)/(_xlfn.POISSON.DIST(BC$1,$B25,FALSE)+(1-$B25/BC$1)*_xlfn.POISSON.DIST(BC$1-1,$B25,TRUE))*EXP(-(BC$1-$B25)*'Staffing Calculator'!$B$5/'Staffing Calculator'!$B$6))</f>
        <v/>
      </c>
      <c r="BD25" s="56">
        <f>IF(BD$1&lt;=$B25,0,1-_xlfn.POISSON.DIST(BD$1,$B25,FALSE)/(_xlfn.POISSON.DIST(BD$1,$B25,FALSE)+(1-$B25/BD$1)*_xlfn.POISSON.DIST(BD$1-1,$B25,TRUE))*EXP(-(BD$1-$B25)*'Staffing Calculator'!$B$5/'Staffing Calculator'!$B$6))</f>
        <v/>
      </c>
      <c r="BE25" s="56">
        <f>IF(BE$1&lt;=$B25,0,1-_xlfn.POISSON.DIST(BE$1,$B25,FALSE)/(_xlfn.POISSON.DIST(BE$1,$B25,FALSE)+(1-$B25/BE$1)*_xlfn.POISSON.DIST(BE$1-1,$B25,TRUE))*EXP(-(BE$1-$B25)*'Staffing Calculator'!$B$5/'Staffing Calculator'!$B$6))</f>
        <v/>
      </c>
      <c r="BF25" s="56">
        <f>IF(BF$1&lt;=$B25,0,1-_xlfn.POISSON.DIST(BF$1,$B25,FALSE)/(_xlfn.POISSON.DIST(BF$1,$B25,FALSE)+(1-$B25/BF$1)*_xlfn.POISSON.DIST(BF$1-1,$B25,TRUE))*EXP(-(BF$1-$B25)*'Staffing Calculator'!$B$5/'Staffing Calculator'!$B$6))</f>
        <v/>
      </c>
      <c r="BG25" s="56">
        <f>IF(BG$1&lt;=$B25,0,1-_xlfn.POISSON.DIST(BG$1,$B25,FALSE)/(_xlfn.POISSON.DIST(BG$1,$B25,FALSE)+(1-$B25/BG$1)*_xlfn.POISSON.DIST(BG$1-1,$B25,TRUE))*EXP(-(BG$1-$B25)*'Staffing Calculator'!$B$5/'Staffing Calculator'!$B$6))</f>
        <v/>
      </c>
      <c r="BH25" s="56">
        <f>IF(BH$1&lt;=$B25,0,1-_xlfn.POISSON.DIST(BH$1,$B25,FALSE)/(_xlfn.POISSON.DIST(BH$1,$B25,FALSE)+(1-$B25/BH$1)*_xlfn.POISSON.DIST(BH$1-1,$B25,TRUE))*EXP(-(BH$1-$B25)*'Staffing Calculator'!$B$5/'Staffing Calculator'!$B$6))</f>
        <v/>
      </c>
      <c r="BI25" s="56">
        <f>IF(BI$1&lt;=$B25,0,1-_xlfn.POISSON.DIST(BI$1,$B25,FALSE)/(_xlfn.POISSON.DIST(BI$1,$B25,FALSE)+(1-$B25/BI$1)*_xlfn.POISSON.DIST(BI$1-1,$B25,TRUE))*EXP(-(BI$1-$B25)*'Staffing Calculator'!$B$5/'Staffing Calculator'!$B$6))</f>
        <v/>
      </c>
      <c r="BJ25" s="56">
        <f>IF(BJ$1&lt;=$B25,0,1-_xlfn.POISSON.DIST(BJ$1,$B25,FALSE)/(_xlfn.POISSON.DIST(BJ$1,$B25,FALSE)+(1-$B25/BJ$1)*_xlfn.POISSON.DIST(BJ$1-1,$B25,TRUE))*EXP(-(BJ$1-$B25)*'Staffing Calculator'!$B$5/'Staffing Calculator'!$B$6))</f>
        <v/>
      </c>
    </row>
    <row r="26">
      <c r="A26" s="54">
        <f>'Staffing Calculator'!A26</f>
        <v/>
      </c>
      <c r="B26" s="55">
        <f>'Staffing Calculator'!C26</f>
        <v/>
      </c>
      <c r="C26" s="56">
        <f>IF(C$1&lt;=$B26,0,1-_xlfn.POISSON.DIST(C$1,$B26,FALSE)/(_xlfn.POISSON.DIST(C$1,$B26,FALSE)+(1-$B26/C$1)*_xlfn.POISSON.DIST(C$1-1,$B26,TRUE))*EXP(-(C$1-$B26)*'Staffing Calculator'!$B$5/'Staffing Calculator'!$B$6))</f>
        <v/>
      </c>
      <c r="D26" s="56">
        <f>IF(D$1&lt;=$B26,0,1-_xlfn.POISSON.DIST(D$1,$B26,FALSE)/(_xlfn.POISSON.DIST(D$1,$B26,FALSE)+(1-$B26/D$1)*_xlfn.POISSON.DIST(D$1-1,$B26,TRUE))*EXP(-(D$1-$B26)*'Staffing Calculator'!$B$5/'Staffing Calculator'!$B$6))</f>
        <v/>
      </c>
      <c r="E26" s="56">
        <f>IF(E$1&lt;=$B26,0,1-_xlfn.POISSON.DIST(E$1,$B26,FALSE)/(_xlfn.POISSON.DIST(E$1,$B26,FALSE)+(1-$B26/E$1)*_xlfn.POISSON.DIST(E$1-1,$B26,TRUE))*EXP(-(E$1-$B26)*'Staffing Calculator'!$B$5/'Staffing Calculator'!$B$6))</f>
        <v/>
      </c>
      <c r="F26" s="56">
        <f>IF(F$1&lt;=$B26,0,1-_xlfn.POISSON.DIST(F$1,$B26,FALSE)/(_xlfn.POISSON.DIST(F$1,$B26,FALSE)+(1-$B26/F$1)*_xlfn.POISSON.DIST(F$1-1,$B26,TRUE))*EXP(-(F$1-$B26)*'Staffing Calculator'!$B$5/'Staffing Calculator'!$B$6))</f>
        <v/>
      </c>
      <c r="G26" s="56">
        <f>IF(G$1&lt;=$B26,0,1-_xlfn.POISSON.DIST(G$1,$B26,FALSE)/(_xlfn.POISSON.DIST(G$1,$B26,FALSE)+(1-$B26/G$1)*_xlfn.POISSON.DIST(G$1-1,$B26,TRUE))*EXP(-(G$1-$B26)*'Staffing Calculator'!$B$5/'Staffing Calculator'!$B$6))</f>
        <v/>
      </c>
      <c r="H26" s="56">
        <f>IF(H$1&lt;=$B26,0,1-_xlfn.POISSON.DIST(H$1,$B26,FALSE)/(_xlfn.POISSON.DIST(H$1,$B26,FALSE)+(1-$B26/H$1)*_xlfn.POISSON.DIST(H$1-1,$B26,TRUE))*EXP(-(H$1-$B26)*'Staffing Calculator'!$B$5/'Staffing Calculator'!$B$6))</f>
        <v/>
      </c>
      <c r="I26" s="56">
        <f>IF(I$1&lt;=$B26,0,1-_xlfn.POISSON.DIST(I$1,$B26,FALSE)/(_xlfn.POISSON.DIST(I$1,$B26,FALSE)+(1-$B26/I$1)*_xlfn.POISSON.DIST(I$1-1,$B26,TRUE))*EXP(-(I$1-$B26)*'Staffing Calculator'!$B$5/'Staffing Calculator'!$B$6))</f>
        <v/>
      </c>
      <c r="J26" s="56">
        <f>IF(J$1&lt;=$B26,0,1-_xlfn.POISSON.DIST(J$1,$B26,FALSE)/(_xlfn.POISSON.DIST(J$1,$B26,FALSE)+(1-$B26/J$1)*_xlfn.POISSON.DIST(J$1-1,$B26,TRUE))*EXP(-(J$1-$B26)*'Staffing Calculator'!$B$5/'Staffing Calculator'!$B$6))</f>
        <v/>
      </c>
      <c r="K26" s="56">
        <f>IF(K$1&lt;=$B26,0,1-_xlfn.POISSON.DIST(K$1,$B26,FALSE)/(_xlfn.POISSON.DIST(K$1,$B26,FALSE)+(1-$B26/K$1)*_xlfn.POISSON.DIST(K$1-1,$B26,TRUE))*EXP(-(K$1-$B26)*'Staffing Calculator'!$B$5/'Staffing Calculator'!$B$6))</f>
        <v/>
      </c>
      <c r="L26" s="56">
        <f>IF(L$1&lt;=$B26,0,1-_xlfn.POISSON.DIST(L$1,$B26,FALSE)/(_xlfn.POISSON.DIST(L$1,$B26,FALSE)+(1-$B26/L$1)*_xlfn.POISSON.DIST(L$1-1,$B26,TRUE))*EXP(-(L$1-$B26)*'Staffing Calculator'!$B$5/'Staffing Calculator'!$B$6))</f>
        <v/>
      </c>
      <c r="M26" s="56">
        <f>IF(M$1&lt;=$B26,0,1-_xlfn.POISSON.DIST(M$1,$B26,FALSE)/(_xlfn.POISSON.DIST(M$1,$B26,FALSE)+(1-$B26/M$1)*_xlfn.POISSON.DIST(M$1-1,$B26,TRUE))*EXP(-(M$1-$B26)*'Staffing Calculator'!$B$5/'Staffing Calculator'!$B$6))</f>
        <v/>
      </c>
      <c r="N26" s="56">
        <f>IF(N$1&lt;=$B26,0,1-_xlfn.POISSON.DIST(N$1,$B26,FALSE)/(_xlfn.POISSON.DIST(N$1,$B26,FALSE)+(1-$B26/N$1)*_xlfn.POISSON.DIST(N$1-1,$B26,TRUE))*EXP(-(N$1-$B26)*'Staffing Calculator'!$B$5/'Staffing Calculator'!$B$6))</f>
        <v/>
      </c>
      <c r="O26" s="56">
        <f>IF(O$1&lt;=$B26,0,1-_xlfn.POISSON.DIST(O$1,$B26,FALSE)/(_xlfn.POISSON.DIST(O$1,$B26,FALSE)+(1-$B26/O$1)*_xlfn.POISSON.DIST(O$1-1,$B26,TRUE))*EXP(-(O$1-$B26)*'Staffing Calculator'!$B$5/'Staffing Calculator'!$B$6))</f>
        <v/>
      </c>
      <c r="P26" s="56">
        <f>IF(P$1&lt;=$B26,0,1-_xlfn.POISSON.DIST(P$1,$B26,FALSE)/(_xlfn.POISSON.DIST(P$1,$B26,FALSE)+(1-$B26/P$1)*_xlfn.POISSON.DIST(P$1-1,$B26,TRUE))*EXP(-(P$1-$B26)*'Staffing Calculator'!$B$5/'Staffing Calculator'!$B$6))</f>
        <v/>
      </c>
      <c r="Q26" s="56">
        <f>IF(Q$1&lt;=$B26,0,1-_xlfn.POISSON.DIST(Q$1,$B26,FALSE)/(_xlfn.POISSON.DIST(Q$1,$B26,FALSE)+(1-$B26/Q$1)*_xlfn.POISSON.DIST(Q$1-1,$B26,TRUE))*EXP(-(Q$1-$B26)*'Staffing Calculator'!$B$5/'Staffing Calculator'!$B$6))</f>
        <v/>
      </c>
      <c r="R26" s="56">
        <f>IF(R$1&lt;=$B26,0,1-_xlfn.POISSON.DIST(R$1,$B26,FALSE)/(_xlfn.POISSON.DIST(R$1,$B26,FALSE)+(1-$B26/R$1)*_xlfn.POISSON.DIST(R$1-1,$B26,TRUE))*EXP(-(R$1-$B26)*'Staffing Calculator'!$B$5/'Staffing Calculator'!$B$6))</f>
        <v/>
      </c>
      <c r="S26" s="56">
        <f>IF(S$1&lt;=$B26,0,1-_xlfn.POISSON.DIST(S$1,$B26,FALSE)/(_xlfn.POISSON.DIST(S$1,$B26,FALSE)+(1-$B26/S$1)*_xlfn.POISSON.DIST(S$1-1,$B26,TRUE))*EXP(-(S$1-$B26)*'Staffing Calculator'!$B$5/'Staffing Calculator'!$B$6))</f>
        <v/>
      </c>
      <c r="T26" s="56">
        <f>IF(T$1&lt;=$B26,0,1-_xlfn.POISSON.DIST(T$1,$B26,FALSE)/(_xlfn.POISSON.DIST(T$1,$B26,FALSE)+(1-$B26/T$1)*_xlfn.POISSON.DIST(T$1-1,$B26,TRUE))*EXP(-(T$1-$B26)*'Staffing Calculator'!$B$5/'Staffing Calculator'!$B$6))</f>
        <v/>
      </c>
      <c r="U26" s="56">
        <f>IF(U$1&lt;=$B26,0,1-_xlfn.POISSON.DIST(U$1,$B26,FALSE)/(_xlfn.POISSON.DIST(U$1,$B26,FALSE)+(1-$B26/U$1)*_xlfn.POISSON.DIST(U$1-1,$B26,TRUE))*EXP(-(U$1-$B26)*'Staffing Calculator'!$B$5/'Staffing Calculator'!$B$6))</f>
        <v/>
      </c>
      <c r="V26" s="56">
        <f>IF(V$1&lt;=$B26,0,1-_xlfn.POISSON.DIST(V$1,$B26,FALSE)/(_xlfn.POISSON.DIST(V$1,$B26,FALSE)+(1-$B26/V$1)*_xlfn.POISSON.DIST(V$1-1,$B26,TRUE))*EXP(-(V$1-$B26)*'Staffing Calculator'!$B$5/'Staffing Calculator'!$B$6))</f>
        <v/>
      </c>
      <c r="W26" s="56">
        <f>IF(W$1&lt;=$B26,0,1-_xlfn.POISSON.DIST(W$1,$B26,FALSE)/(_xlfn.POISSON.DIST(W$1,$B26,FALSE)+(1-$B26/W$1)*_xlfn.POISSON.DIST(W$1-1,$B26,TRUE))*EXP(-(W$1-$B26)*'Staffing Calculator'!$B$5/'Staffing Calculator'!$B$6))</f>
        <v/>
      </c>
      <c r="X26" s="56">
        <f>IF(X$1&lt;=$B26,0,1-_xlfn.POISSON.DIST(X$1,$B26,FALSE)/(_xlfn.POISSON.DIST(X$1,$B26,FALSE)+(1-$B26/X$1)*_xlfn.POISSON.DIST(X$1-1,$B26,TRUE))*EXP(-(X$1-$B26)*'Staffing Calculator'!$B$5/'Staffing Calculator'!$B$6))</f>
        <v/>
      </c>
      <c r="Y26" s="56">
        <f>IF(Y$1&lt;=$B26,0,1-_xlfn.POISSON.DIST(Y$1,$B26,FALSE)/(_xlfn.POISSON.DIST(Y$1,$B26,FALSE)+(1-$B26/Y$1)*_xlfn.POISSON.DIST(Y$1-1,$B26,TRUE))*EXP(-(Y$1-$B26)*'Staffing Calculator'!$B$5/'Staffing Calculator'!$B$6))</f>
        <v/>
      </c>
      <c r="Z26" s="56">
        <f>IF(Z$1&lt;=$B26,0,1-_xlfn.POISSON.DIST(Z$1,$B26,FALSE)/(_xlfn.POISSON.DIST(Z$1,$B26,FALSE)+(1-$B26/Z$1)*_xlfn.POISSON.DIST(Z$1-1,$B26,TRUE))*EXP(-(Z$1-$B26)*'Staffing Calculator'!$B$5/'Staffing Calculator'!$B$6))</f>
        <v/>
      </c>
      <c r="AA26" s="56">
        <f>IF(AA$1&lt;=$B26,0,1-_xlfn.POISSON.DIST(AA$1,$B26,FALSE)/(_xlfn.POISSON.DIST(AA$1,$B26,FALSE)+(1-$B26/AA$1)*_xlfn.POISSON.DIST(AA$1-1,$B26,TRUE))*EXP(-(AA$1-$B26)*'Staffing Calculator'!$B$5/'Staffing Calculator'!$B$6))</f>
        <v/>
      </c>
      <c r="AB26" s="56">
        <f>IF(AB$1&lt;=$B26,0,1-_xlfn.POISSON.DIST(AB$1,$B26,FALSE)/(_xlfn.POISSON.DIST(AB$1,$B26,FALSE)+(1-$B26/AB$1)*_xlfn.POISSON.DIST(AB$1-1,$B26,TRUE))*EXP(-(AB$1-$B26)*'Staffing Calculator'!$B$5/'Staffing Calculator'!$B$6))</f>
        <v/>
      </c>
      <c r="AC26" s="56">
        <f>IF(AC$1&lt;=$B26,0,1-_xlfn.POISSON.DIST(AC$1,$B26,FALSE)/(_xlfn.POISSON.DIST(AC$1,$B26,FALSE)+(1-$B26/AC$1)*_xlfn.POISSON.DIST(AC$1-1,$B26,TRUE))*EXP(-(AC$1-$B26)*'Staffing Calculator'!$B$5/'Staffing Calculator'!$B$6))</f>
        <v/>
      </c>
      <c r="AD26" s="56">
        <f>IF(AD$1&lt;=$B26,0,1-_xlfn.POISSON.DIST(AD$1,$B26,FALSE)/(_xlfn.POISSON.DIST(AD$1,$B26,FALSE)+(1-$B26/AD$1)*_xlfn.POISSON.DIST(AD$1-1,$B26,TRUE))*EXP(-(AD$1-$B26)*'Staffing Calculator'!$B$5/'Staffing Calculator'!$B$6))</f>
        <v/>
      </c>
      <c r="AE26" s="56">
        <f>IF(AE$1&lt;=$B26,0,1-_xlfn.POISSON.DIST(AE$1,$B26,FALSE)/(_xlfn.POISSON.DIST(AE$1,$B26,FALSE)+(1-$B26/AE$1)*_xlfn.POISSON.DIST(AE$1-1,$B26,TRUE))*EXP(-(AE$1-$B26)*'Staffing Calculator'!$B$5/'Staffing Calculator'!$B$6))</f>
        <v/>
      </c>
      <c r="AF26" s="56">
        <f>IF(AF$1&lt;=$B26,0,1-_xlfn.POISSON.DIST(AF$1,$B26,FALSE)/(_xlfn.POISSON.DIST(AF$1,$B26,FALSE)+(1-$B26/AF$1)*_xlfn.POISSON.DIST(AF$1-1,$B26,TRUE))*EXP(-(AF$1-$B26)*'Staffing Calculator'!$B$5/'Staffing Calculator'!$B$6))</f>
        <v/>
      </c>
      <c r="AG26" s="56">
        <f>IF(AG$1&lt;=$B26,0,1-_xlfn.POISSON.DIST(AG$1,$B26,FALSE)/(_xlfn.POISSON.DIST(AG$1,$B26,FALSE)+(1-$B26/AG$1)*_xlfn.POISSON.DIST(AG$1-1,$B26,TRUE))*EXP(-(AG$1-$B26)*'Staffing Calculator'!$B$5/'Staffing Calculator'!$B$6))</f>
        <v/>
      </c>
      <c r="AH26" s="56">
        <f>IF(AH$1&lt;=$B26,0,1-_xlfn.POISSON.DIST(AH$1,$B26,FALSE)/(_xlfn.POISSON.DIST(AH$1,$B26,FALSE)+(1-$B26/AH$1)*_xlfn.POISSON.DIST(AH$1-1,$B26,TRUE))*EXP(-(AH$1-$B26)*'Staffing Calculator'!$B$5/'Staffing Calculator'!$B$6))</f>
        <v/>
      </c>
      <c r="AI26" s="56">
        <f>IF(AI$1&lt;=$B26,0,1-_xlfn.POISSON.DIST(AI$1,$B26,FALSE)/(_xlfn.POISSON.DIST(AI$1,$B26,FALSE)+(1-$B26/AI$1)*_xlfn.POISSON.DIST(AI$1-1,$B26,TRUE))*EXP(-(AI$1-$B26)*'Staffing Calculator'!$B$5/'Staffing Calculator'!$B$6))</f>
        <v/>
      </c>
      <c r="AJ26" s="56">
        <f>IF(AJ$1&lt;=$B26,0,1-_xlfn.POISSON.DIST(AJ$1,$B26,FALSE)/(_xlfn.POISSON.DIST(AJ$1,$B26,FALSE)+(1-$B26/AJ$1)*_xlfn.POISSON.DIST(AJ$1-1,$B26,TRUE))*EXP(-(AJ$1-$B26)*'Staffing Calculator'!$B$5/'Staffing Calculator'!$B$6))</f>
        <v/>
      </c>
      <c r="AK26" s="56">
        <f>IF(AK$1&lt;=$B26,0,1-_xlfn.POISSON.DIST(AK$1,$B26,FALSE)/(_xlfn.POISSON.DIST(AK$1,$B26,FALSE)+(1-$B26/AK$1)*_xlfn.POISSON.DIST(AK$1-1,$B26,TRUE))*EXP(-(AK$1-$B26)*'Staffing Calculator'!$B$5/'Staffing Calculator'!$B$6))</f>
        <v/>
      </c>
      <c r="AL26" s="56">
        <f>IF(AL$1&lt;=$B26,0,1-_xlfn.POISSON.DIST(AL$1,$B26,FALSE)/(_xlfn.POISSON.DIST(AL$1,$B26,FALSE)+(1-$B26/AL$1)*_xlfn.POISSON.DIST(AL$1-1,$B26,TRUE))*EXP(-(AL$1-$B26)*'Staffing Calculator'!$B$5/'Staffing Calculator'!$B$6))</f>
        <v/>
      </c>
      <c r="AM26" s="56">
        <f>IF(AM$1&lt;=$B26,0,1-_xlfn.POISSON.DIST(AM$1,$B26,FALSE)/(_xlfn.POISSON.DIST(AM$1,$B26,FALSE)+(1-$B26/AM$1)*_xlfn.POISSON.DIST(AM$1-1,$B26,TRUE))*EXP(-(AM$1-$B26)*'Staffing Calculator'!$B$5/'Staffing Calculator'!$B$6))</f>
        <v/>
      </c>
      <c r="AN26" s="56">
        <f>IF(AN$1&lt;=$B26,0,1-_xlfn.POISSON.DIST(AN$1,$B26,FALSE)/(_xlfn.POISSON.DIST(AN$1,$B26,FALSE)+(1-$B26/AN$1)*_xlfn.POISSON.DIST(AN$1-1,$B26,TRUE))*EXP(-(AN$1-$B26)*'Staffing Calculator'!$B$5/'Staffing Calculator'!$B$6))</f>
        <v/>
      </c>
      <c r="AO26" s="56">
        <f>IF(AO$1&lt;=$B26,0,1-_xlfn.POISSON.DIST(AO$1,$B26,FALSE)/(_xlfn.POISSON.DIST(AO$1,$B26,FALSE)+(1-$B26/AO$1)*_xlfn.POISSON.DIST(AO$1-1,$B26,TRUE))*EXP(-(AO$1-$B26)*'Staffing Calculator'!$B$5/'Staffing Calculator'!$B$6))</f>
        <v/>
      </c>
      <c r="AP26" s="56">
        <f>IF(AP$1&lt;=$B26,0,1-_xlfn.POISSON.DIST(AP$1,$B26,FALSE)/(_xlfn.POISSON.DIST(AP$1,$B26,FALSE)+(1-$B26/AP$1)*_xlfn.POISSON.DIST(AP$1-1,$B26,TRUE))*EXP(-(AP$1-$B26)*'Staffing Calculator'!$B$5/'Staffing Calculator'!$B$6))</f>
        <v/>
      </c>
      <c r="AQ26" s="56">
        <f>IF(AQ$1&lt;=$B26,0,1-_xlfn.POISSON.DIST(AQ$1,$B26,FALSE)/(_xlfn.POISSON.DIST(AQ$1,$B26,FALSE)+(1-$B26/AQ$1)*_xlfn.POISSON.DIST(AQ$1-1,$B26,TRUE))*EXP(-(AQ$1-$B26)*'Staffing Calculator'!$B$5/'Staffing Calculator'!$B$6))</f>
        <v/>
      </c>
      <c r="AR26" s="56">
        <f>IF(AR$1&lt;=$B26,0,1-_xlfn.POISSON.DIST(AR$1,$B26,FALSE)/(_xlfn.POISSON.DIST(AR$1,$B26,FALSE)+(1-$B26/AR$1)*_xlfn.POISSON.DIST(AR$1-1,$B26,TRUE))*EXP(-(AR$1-$B26)*'Staffing Calculator'!$B$5/'Staffing Calculator'!$B$6))</f>
        <v/>
      </c>
      <c r="AS26" s="56">
        <f>IF(AS$1&lt;=$B26,0,1-_xlfn.POISSON.DIST(AS$1,$B26,FALSE)/(_xlfn.POISSON.DIST(AS$1,$B26,FALSE)+(1-$B26/AS$1)*_xlfn.POISSON.DIST(AS$1-1,$B26,TRUE))*EXP(-(AS$1-$B26)*'Staffing Calculator'!$B$5/'Staffing Calculator'!$B$6))</f>
        <v/>
      </c>
      <c r="AT26" s="56">
        <f>IF(AT$1&lt;=$B26,0,1-_xlfn.POISSON.DIST(AT$1,$B26,FALSE)/(_xlfn.POISSON.DIST(AT$1,$B26,FALSE)+(1-$B26/AT$1)*_xlfn.POISSON.DIST(AT$1-1,$B26,TRUE))*EXP(-(AT$1-$B26)*'Staffing Calculator'!$B$5/'Staffing Calculator'!$B$6))</f>
        <v/>
      </c>
      <c r="AU26" s="56">
        <f>IF(AU$1&lt;=$B26,0,1-_xlfn.POISSON.DIST(AU$1,$B26,FALSE)/(_xlfn.POISSON.DIST(AU$1,$B26,FALSE)+(1-$B26/AU$1)*_xlfn.POISSON.DIST(AU$1-1,$B26,TRUE))*EXP(-(AU$1-$B26)*'Staffing Calculator'!$B$5/'Staffing Calculator'!$B$6))</f>
        <v/>
      </c>
      <c r="AV26" s="56">
        <f>IF(AV$1&lt;=$B26,0,1-_xlfn.POISSON.DIST(AV$1,$B26,FALSE)/(_xlfn.POISSON.DIST(AV$1,$B26,FALSE)+(1-$B26/AV$1)*_xlfn.POISSON.DIST(AV$1-1,$B26,TRUE))*EXP(-(AV$1-$B26)*'Staffing Calculator'!$B$5/'Staffing Calculator'!$B$6))</f>
        <v/>
      </c>
      <c r="AW26" s="56">
        <f>IF(AW$1&lt;=$B26,0,1-_xlfn.POISSON.DIST(AW$1,$B26,FALSE)/(_xlfn.POISSON.DIST(AW$1,$B26,FALSE)+(1-$B26/AW$1)*_xlfn.POISSON.DIST(AW$1-1,$B26,TRUE))*EXP(-(AW$1-$B26)*'Staffing Calculator'!$B$5/'Staffing Calculator'!$B$6))</f>
        <v/>
      </c>
      <c r="AX26" s="56">
        <f>IF(AX$1&lt;=$B26,0,1-_xlfn.POISSON.DIST(AX$1,$B26,FALSE)/(_xlfn.POISSON.DIST(AX$1,$B26,FALSE)+(1-$B26/AX$1)*_xlfn.POISSON.DIST(AX$1-1,$B26,TRUE))*EXP(-(AX$1-$B26)*'Staffing Calculator'!$B$5/'Staffing Calculator'!$B$6))</f>
        <v/>
      </c>
      <c r="AY26" s="56">
        <f>IF(AY$1&lt;=$B26,0,1-_xlfn.POISSON.DIST(AY$1,$B26,FALSE)/(_xlfn.POISSON.DIST(AY$1,$B26,FALSE)+(1-$B26/AY$1)*_xlfn.POISSON.DIST(AY$1-1,$B26,TRUE))*EXP(-(AY$1-$B26)*'Staffing Calculator'!$B$5/'Staffing Calculator'!$B$6))</f>
        <v/>
      </c>
      <c r="AZ26" s="56">
        <f>IF(AZ$1&lt;=$B26,0,1-_xlfn.POISSON.DIST(AZ$1,$B26,FALSE)/(_xlfn.POISSON.DIST(AZ$1,$B26,FALSE)+(1-$B26/AZ$1)*_xlfn.POISSON.DIST(AZ$1-1,$B26,TRUE))*EXP(-(AZ$1-$B26)*'Staffing Calculator'!$B$5/'Staffing Calculator'!$B$6))</f>
        <v/>
      </c>
      <c r="BA26" s="56">
        <f>IF(BA$1&lt;=$B26,0,1-_xlfn.POISSON.DIST(BA$1,$B26,FALSE)/(_xlfn.POISSON.DIST(BA$1,$B26,FALSE)+(1-$B26/BA$1)*_xlfn.POISSON.DIST(BA$1-1,$B26,TRUE))*EXP(-(BA$1-$B26)*'Staffing Calculator'!$B$5/'Staffing Calculator'!$B$6))</f>
        <v/>
      </c>
      <c r="BB26" s="56">
        <f>IF(BB$1&lt;=$B26,0,1-_xlfn.POISSON.DIST(BB$1,$B26,FALSE)/(_xlfn.POISSON.DIST(BB$1,$B26,FALSE)+(1-$B26/BB$1)*_xlfn.POISSON.DIST(BB$1-1,$B26,TRUE))*EXP(-(BB$1-$B26)*'Staffing Calculator'!$B$5/'Staffing Calculator'!$B$6))</f>
        <v/>
      </c>
      <c r="BC26" s="56">
        <f>IF(BC$1&lt;=$B26,0,1-_xlfn.POISSON.DIST(BC$1,$B26,FALSE)/(_xlfn.POISSON.DIST(BC$1,$B26,FALSE)+(1-$B26/BC$1)*_xlfn.POISSON.DIST(BC$1-1,$B26,TRUE))*EXP(-(BC$1-$B26)*'Staffing Calculator'!$B$5/'Staffing Calculator'!$B$6))</f>
        <v/>
      </c>
      <c r="BD26" s="56">
        <f>IF(BD$1&lt;=$B26,0,1-_xlfn.POISSON.DIST(BD$1,$B26,FALSE)/(_xlfn.POISSON.DIST(BD$1,$B26,FALSE)+(1-$B26/BD$1)*_xlfn.POISSON.DIST(BD$1-1,$B26,TRUE))*EXP(-(BD$1-$B26)*'Staffing Calculator'!$B$5/'Staffing Calculator'!$B$6))</f>
        <v/>
      </c>
      <c r="BE26" s="56">
        <f>IF(BE$1&lt;=$B26,0,1-_xlfn.POISSON.DIST(BE$1,$B26,FALSE)/(_xlfn.POISSON.DIST(BE$1,$B26,FALSE)+(1-$B26/BE$1)*_xlfn.POISSON.DIST(BE$1-1,$B26,TRUE))*EXP(-(BE$1-$B26)*'Staffing Calculator'!$B$5/'Staffing Calculator'!$B$6))</f>
        <v/>
      </c>
      <c r="BF26" s="56">
        <f>IF(BF$1&lt;=$B26,0,1-_xlfn.POISSON.DIST(BF$1,$B26,FALSE)/(_xlfn.POISSON.DIST(BF$1,$B26,FALSE)+(1-$B26/BF$1)*_xlfn.POISSON.DIST(BF$1-1,$B26,TRUE))*EXP(-(BF$1-$B26)*'Staffing Calculator'!$B$5/'Staffing Calculator'!$B$6))</f>
        <v/>
      </c>
      <c r="BG26" s="56">
        <f>IF(BG$1&lt;=$B26,0,1-_xlfn.POISSON.DIST(BG$1,$B26,FALSE)/(_xlfn.POISSON.DIST(BG$1,$B26,FALSE)+(1-$B26/BG$1)*_xlfn.POISSON.DIST(BG$1-1,$B26,TRUE))*EXP(-(BG$1-$B26)*'Staffing Calculator'!$B$5/'Staffing Calculator'!$B$6))</f>
        <v/>
      </c>
      <c r="BH26" s="56">
        <f>IF(BH$1&lt;=$B26,0,1-_xlfn.POISSON.DIST(BH$1,$B26,FALSE)/(_xlfn.POISSON.DIST(BH$1,$B26,FALSE)+(1-$B26/BH$1)*_xlfn.POISSON.DIST(BH$1-1,$B26,TRUE))*EXP(-(BH$1-$B26)*'Staffing Calculator'!$B$5/'Staffing Calculator'!$B$6))</f>
        <v/>
      </c>
      <c r="BI26" s="56">
        <f>IF(BI$1&lt;=$B26,0,1-_xlfn.POISSON.DIST(BI$1,$B26,FALSE)/(_xlfn.POISSON.DIST(BI$1,$B26,FALSE)+(1-$B26/BI$1)*_xlfn.POISSON.DIST(BI$1-1,$B26,TRUE))*EXP(-(BI$1-$B26)*'Staffing Calculator'!$B$5/'Staffing Calculator'!$B$6))</f>
        <v/>
      </c>
      <c r="BJ26" s="56">
        <f>IF(BJ$1&lt;=$B26,0,1-_xlfn.POISSON.DIST(BJ$1,$B26,FALSE)/(_xlfn.POISSON.DIST(BJ$1,$B26,FALSE)+(1-$B26/BJ$1)*_xlfn.POISSON.DIST(BJ$1-1,$B26,TRUE))*EXP(-(BJ$1-$B26)*'Staffing Calculator'!$B$5/'Staffing Calculator'!$B$6))</f>
        <v/>
      </c>
    </row>
    <row r="27">
      <c r="A27" s="54">
        <f>'Staffing Calculator'!A27</f>
        <v/>
      </c>
      <c r="B27" s="55">
        <f>'Staffing Calculator'!C27</f>
        <v/>
      </c>
      <c r="C27" s="56">
        <f>IF(C$1&lt;=$B27,0,1-_xlfn.POISSON.DIST(C$1,$B27,FALSE)/(_xlfn.POISSON.DIST(C$1,$B27,FALSE)+(1-$B27/C$1)*_xlfn.POISSON.DIST(C$1-1,$B27,TRUE))*EXP(-(C$1-$B27)*'Staffing Calculator'!$B$5/'Staffing Calculator'!$B$6))</f>
        <v/>
      </c>
      <c r="D27" s="56">
        <f>IF(D$1&lt;=$B27,0,1-_xlfn.POISSON.DIST(D$1,$B27,FALSE)/(_xlfn.POISSON.DIST(D$1,$B27,FALSE)+(1-$B27/D$1)*_xlfn.POISSON.DIST(D$1-1,$B27,TRUE))*EXP(-(D$1-$B27)*'Staffing Calculator'!$B$5/'Staffing Calculator'!$B$6))</f>
        <v/>
      </c>
      <c r="E27" s="56">
        <f>IF(E$1&lt;=$B27,0,1-_xlfn.POISSON.DIST(E$1,$B27,FALSE)/(_xlfn.POISSON.DIST(E$1,$B27,FALSE)+(1-$B27/E$1)*_xlfn.POISSON.DIST(E$1-1,$B27,TRUE))*EXP(-(E$1-$B27)*'Staffing Calculator'!$B$5/'Staffing Calculator'!$B$6))</f>
        <v/>
      </c>
      <c r="F27" s="56">
        <f>IF(F$1&lt;=$B27,0,1-_xlfn.POISSON.DIST(F$1,$B27,FALSE)/(_xlfn.POISSON.DIST(F$1,$B27,FALSE)+(1-$B27/F$1)*_xlfn.POISSON.DIST(F$1-1,$B27,TRUE))*EXP(-(F$1-$B27)*'Staffing Calculator'!$B$5/'Staffing Calculator'!$B$6))</f>
        <v/>
      </c>
      <c r="G27" s="56">
        <f>IF(G$1&lt;=$B27,0,1-_xlfn.POISSON.DIST(G$1,$B27,FALSE)/(_xlfn.POISSON.DIST(G$1,$B27,FALSE)+(1-$B27/G$1)*_xlfn.POISSON.DIST(G$1-1,$B27,TRUE))*EXP(-(G$1-$B27)*'Staffing Calculator'!$B$5/'Staffing Calculator'!$B$6))</f>
        <v/>
      </c>
      <c r="H27" s="56">
        <f>IF(H$1&lt;=$B27,0,1-_xlfn.POISSON.DIST(H$1,$B27,FALSE)/(_xlfn.POISSON.DIST(H$1,$B27,FALSE)+(1-$B27/H$1)*_xlfn.POISSON.DIST(H$1-1,$B27,TRUE))*EXP(-(H$1-$B27)*'Staffing Calculator'!$B$5/'Staffing Calculator'!$B$6))</f>
        <v/>
      </c>
      <c r="I27" s="56">
        <f>IF(I$1&lt;=$B27,0,1-_xlfn.POISSON.DIST(I$1,$B27,FALSE)/(_xlfn.POISSON.DIST(I$1,$B27,FALSE)+(1-$B27/I$1)*_xlfn.POISSON.DIST(I$1-1,$B27,TRUE))*EXP(-(I$1-$B27)*'Staffing Calculator'!$B$5/'Staffing Calculator'!$B$6))</f>
        <v/>
      </c>
      <c r="J27" s="56">
        <f>IF(J$1&lt;=$B27,0,1-_xlfn.POISSON.DIST(J$1,$B27,FALSE)/(_xlfn.POISSON.DIST(J$1,$B27,FALSE)+(1-$B27/J$1)*_xlfn.POISSON.DIST(J$1-1,$B27,TRUE))*EXP(-(J$1-$B27)*'Staffing Calculator'!$B$5/'Staffing Calculator'!$B$6))</f>
        <v/>
      </c>
      <c r="K27" s="56">
        <f>IF(K$1&lt;=$B27,0,1-_xlfn.POISSON.DIST(K$1,$B27,FALSE)/(_xlfn.POISSON.DIST(K$1,$B27,FALSE)+(1-$B27/K$1)*_xlfn.POISSON.DIST(K$1-1,$B27,TRUE))*EXP(-(K$1-$B27)*'Staffing Calculator'!$B$5/'Staffing Calculator'!$B$6))</f>
        <v/>
      </c>
      <c r="L27" s="56">
        <f>IF(L$1&lt;=$B27,0,1-_xlfn.POISSON.DIST(L$1,$B27,FALSE)/(_xlfn.POISSON.DIST(L$1,$B27,FALSE)+(1-$B27/L$1)*_xlfn.POISSON.DIST(L$1-1,$B27,TRUE))*EXP(-(L$1-$B27)*'Staffing Calculator'!$B$5/'Staffing Calculator'!$B$6))</f>
        <v/>
      </c>
      <c r="M27" s="56">
        <f>IF(M$1&lt;=$B27,0,1-_xlfn.POISSON.DIST(M$1,$B27,FALSE)/(_xlfn.POISSON.DIST(M$1,$B27,FALSE)+(1-$B27/M$1)*_xlfn.POISSON.DIST(M$1-1,$B27,TRUE))*EXP(-(M$1-$B27)*'Staffing Calculator'!$B$5/'Staffing Calculator'!$B$6))</f>
        <v/>
      </c>
      <c r="N27" s="56">
        <f>IF(N$1&lt;=$B27,0,1-_xlfn.POISSON.DIST(N$1,$B27,FALSE)/(_xlfn.POISSON.DIST(N$1,$B27,FALSE)+(1-$B27/N$1)*_xlfn.POISSON.DIST(N$1-1,$B27,TRUE))*EXP(-(N$1-$B27)*'Staffing Calculator'!$B$5/'Staffing Calculator'!$B$6))</f>
        <v/>
      </c>
      <c r="O27" s="56">
        <f>IF(O$1&lt;=$B27,0,1-_xlfn.POISSON.DIST(O$1,$B27,FALSE)/(_xlfn.POISSON.DIST(O$1,$B27,FALSE)+(1-$B27/O$1)*_xlfn.POISSON.DIST(O$1-1,$B27,TRUE))*EXP(-(O$1-$B27)*'Staffing Calculator'!$B$5/'Staffing Calculator'!$B$6))</f>
        <v/>
      </c>
      <c r="P27" s="56">
        <f>IF(P$1&lt;=$B27,0,1-_xlfn.POISSON.DIST(P$1,$B27,FALSE)/(_xlfn.POISSON.DIST(P$1,$B27,FALSE)+(1-$B27/P$1)*_xlfn.POISSON.DIST(P$1-1,$B27,TRUE))*EXP(-(P$1-$B27)*'Staffing Calculator'!$B$5/'Staffing Calculator'!$B$6))</f>
        <v/>
      </c>
      <c r="Q27" s="56">
        <f>IF(Q$1&lt;=$B27,0,1-_xlfn.POISSON.DIST(Q$1,$B27,FALSE)/(_xlfn.POISSON.DIST(Q$1,$B27,FALSE)+(1-$B27/Q$1)*_xlfn.POISSON.DIST(Q$1-1,$B27,TRUE))*EXP(-(Q$1-$B27)*'Staffing Calculator'!$B$5/'Staffing Calculator'!$B$6))</f>
        <v/>
      </c>
      <c r="R27" s="56">
        <f>IF(R$1&lt;=$B27,0,1-_xlfn.POISSON.DIST(R$1,$B27,FALSE)/(_xlfn.POISSON.DIST(R$1,$B27,FALSE)+(1-$B27/R$1)*_xlfn.POISSON.DIST(R$1-1,$B27,TRUE))*EXP(-(R$1-$B27)*'Staffing Calculator'!$B$5/'Staffing Calculator'!$B$6))</f>
        <v/>
      </c>
      <c r="S27" s="56">
        <f>IF(S$1&lt;=$B27,0,1-_xlfn.POISSON.DIST(S$1,$B27,FALSE)/(_xlfn.POISSON.DIST(S$1,$B27,FALSE)+(1-$B27/S$1)*_xlfn.POISSON.DIST(S$1-1,$B27,TRUE))*EXP(-(S$1-$B27)*'Staffing Calculator'!$B$5/'Staffing Calculator'!$B$6))</f>
        <v/>
      </c>
      <c r="T27" s="56">
        <f>IF(T$1&lt;=$B27,0,1-_xlfn.POISSON.DIST(T$1,$B27,FALSE)/(_xlfn.POISSON.DIST(T$1,$B27,FALSE)+(1-$B27/T$1)*_xlfn.POISSON.DIST(T$1-1,$B27,TRUE))*EXP(-(T$1-$B27)*'Staffing Calculator'!$B$5/'Staffing Calculator'!$B$6))</f>
        <v/>
      </c>
      <c r="U27" s="56">
        <f>IF(U$1&lt;=$B27,0,1-_xlfn.POISSON.DIST(U$1,$B27,FALSE)/(_xlfn.POISSON.DIST(U$1,$B27,FALSE)+(1-$B27/U$1)*_xlfn.POISSON.DIST(U$1-1,$B27,TRUE))*EXP(-(U$1-$B27)*'Staffing Calculator'!$B$5/'Staffing Calculator'!$B$6))</f>
        <v/>
      </c>
      <c r="V27" s="56">
        <f>IF(V$1&lt;=$B27,0,1-_xlfn.POISSON.DIST(V$1,$B27,FALSE)/(_xlfn.POISSON.DIST(V$1,$B27,FALSE)+(1-$B27/V$1)*_xlfn.POISSON.DIST(V$1-1,$B27,TRUE))*EXP(-(V$1-$B27)*'Staffing Calculator'!$B$5/'Staffing Calculator'!$B$6))</f>
        <v/>
      </c>
      <c r="W27" s="56">
        <f>IF(W$1&lt;=$B27,0,1-_xlfn.POISSON.DIST(W$1,$B27,FALSE)/(_xlfn.POISSON.DIST(W$1,$B27,FALSE)+(1-$B27/W$1)*_xlfn.POISSON.DIST(W$1-1,$B27,TRUE))*EXP(-(W$1-$B27)*'Staffing Calculator'!$B$5/'Staffing Calculator'!$B$6))</f>
        <v/>
      </c>
      <c r="X27" s="56">
        <f>IF(X$1&lt;=$B27,0,1-_xlfn.POISSON.DIST(X$1,$B27,FALSE)/(_xlfn.POISSON.DIST(X$1,$B27,FALSE)+(1-$B27/X$1)*_xlfn.POISSON.DIST(X$1-1,$B27,TRUE))*EXP(-(X$1-$B27)*'Staffing Calculator'!$B$5/'Staffing Calculator'!$B$6))</f>
        <v/>
      </c>
      <c r="Y27" s="56">
        <f>IF(Y$1&lt;=$B27,0,1-_xlfn.POISSON.DIST(Y$1,$B27,FALSE)/(_xlfn.POISSON.DIST(Y$1,$B27,FALSE)+(1-$B27/Y$1)*_xlfn.POISSON.DIST(Y$1-1,$B27,TRUE))*EXP(-(Y$1-$B27)*'Staffing Calculator'!$B$5/'Staffing Calculator'!$B$6))</f>
        <v/>
      </c>
      <c r="Z27" s="56">
        <f>IF(Z$1&lt;=$B27,0,1-_xlfn.POISSON.DIST(Z$1,$B27,FALSE)/(_xlfn.POISSON.DIST(Z$1,$B27,FALSE)+(1-$B27/Z$1)*_xlfn.POISSON.DIST(Z$1-1,$B27,TRUE))*EXP(-(Z$1-$B27)*'Staffing Calculator'!$B$5/'Staffing Calculator'!$B$6))</f>
        <v/>
      </c>
      <c r="AA27" s="56">
        <f>IF(AA$1&lt;=$B27,0,1-_xlfn.POISSON.DIST(AA$1,$B27,FALSE)/(_xlfn.POISSON.DIST(AA$1,$B27,FALSE)+(1-$B27/AA$1)*_xlfn.POISSON.DIST(AA$1-1,$B27,TRUE))*EXP(-(AA$1-$B27)*'Staffing Calculator'!$B$5/'Staffing Calculator'!$B$6))</f>
        <v/>
      </c>
      <c r="AB27" s="56">
        <f>IF(AB$1&lt;=$B27,0,1-_xlfn.POISSON.DIST(AB$1,$B27,FALSE)/(_xlfn.POISSON.DIST(AB$1,$B27,FALSE)+(1-$B27/AB$1)*_xlfn.POISSON.DIST(AB$1-1,$B27,TRUE))*EXP(-(AB$1-$B27)*'Staffing Calculator'!$B$5/'Staffing Calculator'!$B$6))</f>
        <v/>
      </c>
      <c r="AC27" s="56">
        <f>IF(AC$1&lt;=$B27,0,1-_xlfn.POISSON.DIST(AC$1,$B27,FALSE)/(_xlfn.POISSON.DIST(AC$1,$B27,FALSE)+(1-$B27/AC$1)*_xlfn.POISSON.DIST(AC$1-1,$B27,TRUE))*EXP(-(AC$1-$B27)*'Staffing Calculator'!$B$5/'Staffing Calculator'!$B$6))</f>
        <v/>
      </c>
      <c r="AD27" s="56">
        <f>IF(AD$1&lt;=$B27,0,1-_xlfn.POISSON.DIST(AD$1,$B27,FALSE)/(_xlfn.POISSON.DIST(AD$1,$B27,FALSE)+(1-$B27/AD$1)*_xlfn.POISSON.DIST(AD$1-1,$B27,TRUE))*EXP(-(AD$1-$B27)*'Staffing Calculator'!$B$5/'Staffing Calculator'!$B$6))</f>
        <v/>
      </c>
      <c r="AE27" s="56">
        <f>IF(AE$1&lt;=$B27,0,1-_xlfn.POISSON.DIST(AE$1,$B27,FALSE)/(_xlfn.POISSON.DIST(AE$1,$B27,FALSE)+(1-$B27/AE$1)*_xlfn.POISSON.DIST(AE$1-1,$B27,TRUE))*EXP(-(AE$1-$B27)*'Staffing Calculator'!$B$5/'Staffing Calculator'!$B$6))</f>
        <v/>
      </c>
      <c r="AF27" s="56">
        <f>IF(AF$1&lt;=$B27,0,1-_xlfn.POISSON.DIST(AF$1,$B27,FALSE)/(_xlfn.POISSON.DIST(AF$1,$B27,FALSE)+(1-$B27/AF$1)*_xlfn.POISSON.DIST(AF$1-1,$B27,TRUE))*EXP(-(AF$1-$B27)*'Staffing Calculator'!$B$5/'Staffing Calculator'!$B$6))</f>
        <v/>
      </c>
      <c r="AG27" s="56">
        <f>IF(AG$1&lt;=$B27,0,1-_xlfn.POISSON.DIST(AG$1,$B27,FALSE)/(_xlfn.POISSON.DIST(AG$1,$B27,FALSE)+(1-$B27/AG$1)*_xlfn.POISSON.DIST(AG$1-1,$B27,TRUE))*EXP(-(AG$1-$B27)*'Staffing Calculator'!$B$5/'Staffing Calculator'!$B$6))</f>
        <v/>
      </c>
      <c r="AH27" s="56">
        <f>IF(AH$1&lt;=$B27,0,1-_xlfn.POISSON.DIST(AH$1,$B27,FALSE)/(_xlfn.POISSON.DIST(AH$1,$B27,FALSE)+(1-$B27/AH$1)*_xlfn.POISSON.DIST(AH$1-1,$B27,TRUE))*EXP(-(AH$1-$B27)*'Staffing Calculator'!$B$5/'Staffing Calculator'!$B$6))</f>
        <v/>
      </c>
      <c r="AI27" s="56">
        <f>IF(AI$1&lt;=$B27,0,1-_xlfn.POISSON.DIST(AI$1,$B27,FALSE)/(_xlfn.POISSON.DIST(AI$1,$B27,FALSE)+(1-$B27/AI$1)*_xlfn.POISSON.DIST(AI$1-1,$B27,TRUE))*EXP(-(AI$1-$B27)*'Staffing Calculator'!$B$5/'Staffing Calculator'!$B$6))</f>
        <v/>
      </c>
      <c r="AJ27" s="56">
        <f>IF(AJ$1&lt;=$B27,0,1-_xlfn.POISSON.DIST(AJ$1,$B27,FALSE)/(_xlfn.POISSON.DIST(AJ$1,$B27,FALSE)+(1-$B27/AJ$1)*_xlfn.POISSON.DIST(AJ$1-1,$B27,TRUE))*EXP(-(AJ$1-$B27)*'Staffing Calculator'!$B$5/'Staffing Calculator'!$B$6))</f>
        <v/>
      </c>
      <c r="AK27" s="56">
        <f>IF(AK$1&lt;=$B27,0,1-_xlfn.POISSON.DIST(AK$1,$B27,FALSE)/(_xlfn.POISSON.DIST(AK$1,$B27,FALSE)+(1-$B27/AK$1)*_xlfn.POISSON.DIST(AK$1-1,$B27,TRUE))*EXP(-(AK$1-$B27)*'Staffing Calculator'!$B$5/'Staffing Calculator'!$B$6))</f>
        <v/>
      </c>
      <c r="AL27" s="56">
        <f>IF(AL$1&lt;=$B27,0,1-_xlfn.POISSON.DIST(AL$1,$B27,FALSE)/(_xlfn.POISSON.DIST(AL$1,$B27,FALSE)+(1-$B27/AL$1)*_xlfn.POISSON.DIST(AL$1-1,$B27,TRUE))*EXP(-(AL$1-$B27)*'Staffing Calculator'!$B$5/'Staffing Calculator'!$B$6))</f>
        <v/>
      </c>
      <c r="AM27" s="56">
        <f>IF(AM$1&lt;=$B27,0,1-_xlfn.POISSON.DIST(AM$1,$B27,FALSE)/(_xlfn.POISSON.DIST(AM$1,$B27,FALSE)+(1-$B27/AM$1)*_xlfn.POISSON.DIST(AM$1-1,$B27,TRUE))*EXP(-(AM$1-$B27)*'Staffing Calculator'!$B$5/'Staffing Calculator'!$B$6))</f>
        <v/>
      </c>
      <c r="AN27" s="56">
        <f>IF(AN$1&lt;=$B27,0,1-_xlfn.POISSON.DIST(AN$1,$B27,FALSE)/(_xlfn.POISSON.DIST(AN$1,$B27,FALSE)+(1-$B27/AN$1)*_xlfn.POISSON.DIST(AN$1-1,$B27,TRUE))*EXP(-(AN$1-$B27)*'Staffing Calculator'!$B$5/'Staffing Calculator'!$B$6))</f>
        <v/>
      </c>
      <c r="AO27" s="56">
        <f>IF(AO$1&lt;=$B27,0,1-_xlfn.POISSON.DIST(AO$1,$B27,FALSE)/(_xlfn.POISSON.DIST(AO$1,$B27,FALSE)+(1-$B27/AO$1)*_xlfn.POISSON.DIST(AO$1-1,$B27,TRUE))*EXP(-(AO$1-$B27)*'Staffing Calculator'!$B$5/'Staffing Calculator'!$B$6))</f>
        <v/>
      </c>
      <c r="AP27" s="56">
        <f>IF(AP$1&lt;=$B27,0,1-_xlfn.POISSON.DIST(AP$1,$B27,FALSE)/(_xlfn.POISSON.DIST(AP$1,$B27,FALSE)+(1-$B27/AP$1)*_xlfn.POISSON.DIST(AP$1-1,$B27,TRUE))*EXP(-(AP$1-$B27)*'Staffing Calculator'!$B$5/'Staffing Calculator'!$B$6))</f>
        <v/>
      </c>
      <c r="AQ27" s="56">
        <f>IF(AQ$1&lt;=$B27,0,1-_xlfn.POISSON.DIST(AQ$1,$B27,FALSE)/(_xlfn.POISSON.DIST(AQ$1,$B27,FALSE)+(1-$B27/AQ$1)*_xlfn.POISSON.DIST(AQ$1-1,$B27,TRUE))*EXP(-(AQ$1-$B27)*'Staffing Calculator'!$B$5/'Staffing Calculator'!$B$6))</f>
        <v/>
      </c>
      <c r="AR27" s="56">
        <f>IF(AR$1&lt;=$B27,0,1-_xlfn.POISSON.DIST(AR$1,$B27,FALSE)/(_xlfn.POISSON.DIST(AR$1,$B27,FALSE)+(1-$B27/AR$1)*_xlfn.POISSON.DIST(AR$1-1,$B27,TRUE))*EXP(-(AR$1-$B27)*'Staffing Calculator'!$B$5/'Staffing Calculator'!$B$6))</f>
        <v/>
      </c>
      <c r="AS27" s="56">
        <f>IF(AS$1&lt;=$B27,0,1-_xlfn.POISSON.DIST(AS$1,$B27,FALSE)/(_xlfn.POISSON.DIST(AS$1,$B27,FALSE)+(1-$B27/AS$1)*_xlfn.POISSON.DIST(AS$1-1,$B27,TRUE))*EXP(-(AS$1-$B27)*'Staffing Calculator'!$B$5/'Staffing Calculator'!$B$6))</f>
        <v/>
      </c>
      <c r="AT27" s="56">
        <f>IF(AT$1&lt;=$B27,0,1-_xlfn.POISSON.DIST(AT$1,$B27,FALSE)/(_xlfn.POISSON.DIST(AT$1,$B27,FALSE)+(1-$B27/AT$1)*_xlfn.POISSON.DIST(AT$1-1,$B27,TRUE))*EXP(-(AT$1-$B27)*'Staffing Calculator'!$B$5/'Staffing Calculator'!$B$6))</f>
        <v/>
      </c>
      <c r="AU27" s="56">
        <f>IF(AU$1&lt;=$B27,0,1-_xlfn.POISSON.DIST(AU$1,$B27,FALSE)/(_xlfn.POISSON.DIST(AU$1,$B27,FALSE)+(1-$B27/AU$1)*_xlfn.POISSON.DIST(AU$1-1,$B27,TRUE))*EXP(-(AU$1-$B27)*'Staffing Calculator'!$B$5/'Staffing Calculator'!$B$6))</f>
        <v/>
      </c>
      <c r="AV27" s="56">
        <f>IF(AV$1&lt;=$B27,0,1-_xlfn.POISSON.DIST(AV$1,$B27,FALSE)/(_xlfn.POISSON.DIST(AV$1,$B27,FALSE)+(1-$B27/AV$1)*_xlfn.POISSON.DIST(AV$1-1,$B27,TRUE))*EXP(-(AV$1-$B27)*'Staffing Calculator'!$B$5/'Staffing Calculator'!$B$6))</f>
        <v/>
      </c>
      <c r="AW27" s="56">
        <f>IF(AW$1&lt;=$B27,0,1-_xlfn.POISSON.DIST(AW$1,$B27,FALSE)/(_xlfn.POISSON.DIST(AW$1,$B27,FALSE)+(1-$B27/AW$1)*_xlfn.POISSON.DIST(AW$1-1,$B27,TRUE))*EXP(-(AW$1-$B27)*'Staffing Calculator'!$B$5/'Staffing Calculator'!$B$6))</f>
        <v/>
      </c>
      <c r="AX27" s="56">
        <f>IF(AX$1&lt;=$B27,0,1-_xlfn.POISSON.DIST(AX$1,$B27,FALSE)/(_xlfn.POISSON.DIST(AX$1,$B27,FALSE)+(1-$B27/AX$1)*_xlfn.POISSON.DIST(AX$1-1,$B27,TRUE))*EXP(-(AX$1-$B27)*'Staffing Calculator'!$B$5/'Staffing Calculator'!$B$6))</f>
        <v/>
      </c>
      <c r="AY27" s="56">
        <f>IF(AY$1&lt;=$B27,0,1-_xlfn.POISSON.DIST(AY$1,$B27,FALSE)/(_xlfn.POISSON.DIST(AY$1,$B27,FALSE)+(1-$B27/AY$1)*_xlfn.POISSON.DIST(AY$1-1,$B27,TRUE))*EXP(-(AY$1-$B27)*'Staffing Calculator'!$B$5/'Staffing Calculator'!$B$6))</f>
        <v/>
      </c>
      <c r="AZ27" s="56">
        <f>IF(AZ$1&lt;=$B27,0,1-_xlfn.POISSON.DIST(AZ$1,$B27,FALSE)/(_xlfn.POISSON.DIST(AZ$1,$B27,FALSE)+(1-$B27/AZ$1)*_xlfn.POISSON.DIST(AZ$1-1,$B27,TRUE))*EXP(-(AZ$1-$B27)*'Staffing Calculator'!$B$5/'Staffing Calculator'!$B$6))</f>
        <v/>
      </c>
      <c r="BA27" s="56">
        <f>IF(BA$1&lt;=$B27,0,1-_xlfn.POISSON.DIST(BA$1,$B27,FALSE)/(_xlfn.POISSON.DIST(BA$1,$B27,FALSE)+(1-$B27/BA$1)*_xlfn.POISSON.DIST(BA$1-1,$B27,TRUE))*EXP(-(BA$1-$B27)*'Staffing Calculator'!$B$5/'Staffing Calculator'!$B$6))</f>
        <v/>
      </c>
      <c r="BB27" s="56">
        <f>IF(BB$1&lt;=$B27,0,1-_xlfn.POISSON.DIST(BB$1,$B27,FALSE)/(_xlfn.POISSON.DIST(BB$1,$B27,FALSE)+(1-$B27/BB$1)*_xlfn.POISSON.DIST(BB$1-1,$B27,TRUE))*EXP(-(BB$1-$B27)*'Staffing Calculator'!$B$5/'Staffing Calculator'!$B$6))</f>
        <v/>
      </c>
      <c r="BC27" s="56">
        <f>IF(BC$1&lt;=$B27,0,1-_xlfn.POISSON.DIST(BC$1,$B27,FALSE)/(_xlfn.POISSON.DIST(BC$1,$B27,FALSE)+(1-$B27/BC$1)*_xlfn.POISSON.DIST(BC$1-1,$B27,TRUE))*EXP(-(BC$1-$B27)*'Staffing Calculator'!$B$5/'Staffing Calculator'!$B$6))</f>
        <v/>
      </c>
      <c r="BD27" s="56">
        <f>IF(BD$1&lt;=$B27,0,1-_xlfn.POISSON.DIST(BD$1,$B27,FALSE)/(_xlfn.POISSON.DIST(BD$1,$B27,FALSE)+(1-$B27/BD$1)*_xlfn.POISSON.DIST(BD$1-1,$B27,TRUE))*EXP(-(BD$1-$B27)*'Staffing Calculator'!$B$5/'Staffing Calculator'!$B$6))</f>
        <v/>
      </c>
      <c r="BE27" s="56">
        <f>IF(BE$1&lt;=$B27,0,1-_xlfn.POISSON.DIST(BE$1,$B27,FALSE)/(_xlfn.POISSON.DIST(BE$1,$B27,FALSE)+(1-$B27/BE$1)*_xlfn.POISSON.DIST(BE$1-1,$B27,TRUE))*EXP(-(BE$1-$B27)*'Staffing Calculator'!$B$5/'Staffing Calculator'!$B$6))</f>
        <v/>
      </c>
      <c r="BF27" s="56">
        <f>IF(BF$1&lt;=$B27,0,1-_xlfn.POISSON.DIST(BF$1,$B27,FALSE)/(_xlfn.POISSON.DIST(BF$1,$B27,FALSE)+(1-$B27/BF$1)*_xlfn.POISSON.DIST(BF$1-1,$B27,TRUE))*EXP(-(BF$1-$B27)*'Staffing Calculator'!$B$5/'Staffing Calculator'!$B$6))</f>
        <v/>
      </c>
      <c r="BG27" s="56">
        <f>IF(BG$1&lt;=$B27,0,1-_xlfn.POISSON.DIST(BG$1,$B27,FALSE)/(_xlfn.POISSON.DIST(BG$1,$B27,FALSE)+(1-$B27/BG$1)*_xlfn.POISSON.DIST(BG$1-1,$B27,TRUE))*EXP(-(BG$1-$B27)*'Staffing Calculator'!$B$5/'Staffing Calculator'!$B$6))</f>
        <v/>
      </c>
      <c r="BH27" s="56">
        <f>IF(BH$1&lt;=$B27,0,1-_xlfn.POISSON.DIST(BH$1,$B27,FALSE)/(_xlfn.POISSON.DIST(BH$1,$B27,FALSE)+(1-$B27/BH$1)*_xlfn.POISSON.DIST(BH$1-1,$B27,TRUE))*EXP(-(BH$1-$B27)*'Staffing Calculator'!$B$5/'Staffing Calculator'!$B$6))</f>
        <v/>
      </c>
      <c r="BI27" s="56">
        <f>IF(BI$1&lt;=$B27,0,1-_xlfn.POISSON.DIST(BI$1,$B27,FALSE)/(_xlfn.POISSON.DIST(BI$1,$B27,FALSE)+(1-$B27/BI$1)*_xlfn.POISSON.DIST(BI$1-1,$B27,TRUE))*EXP(-(BI$1-$B27)*'Staffing Calculator'!$B$5/'Staffing Calculator'!$B$6))</f>
        <v/>
      </c>
      <c r="BJ27" s="56">
        <f>IF(BJ$1&lt;=$B27,0,1-_xlfn.POISSON.DIST(BJ$1,$B27,FALSE)/(_xlfn.POISSON.DIST(BJ$1,$B27,FALSE)+(1-$B27/BJ$1)*_xlfn.POISSON.DIST(BJ$1-1,$B27,TRUE))*EXP(-(BJ$1-$B27)*'Staffing Calculator'!$B$5/'Staffing Calculator'!$B$6))</f>
        <v/>
      </c>
    </row>
    <row r="28">
      <c r="A28" s="54">
        <f>'Staffing Calculator'!A28</f>
        <v/>
      </c>
      <c r="B28" s="55">
        <f>'Staffing Calculator'!C28</f>
        <v/>
      </c>
      <c r="C28" s="56">
        <f>IF(C$1&lt;=$B28,0,1-_xlfn.POISSON.DIST(C$1,$B28,FALSE)/(_xlfn.POISSON.DIST(C$1,$B28,FALSE)+(1-$B28/C$1)*_xlfn.POISSON.DIST(C$1-1,$B28,TRUE))*EXP(-(C$1-$B28)*'Staffing Calculator'!$B$5/'Staffing Calculator'!$B$6))</f>
        <v/>
      </c>
      <c r="D28" s="56">
        <f>IF(D$1&lt;=$B28,0,1-_xlfn.POISSON.DIST(D$1,$B28,FALSE)/(_xlfn.POISSON.DIST(D$1,$B28,FALSE)+(1-$B28/D$1)*_xlfn.POISSON.DIST(D$1-1,$B28,TRUE))*EXP(-(D$1-$B28)*'Staffing Calculator'!$B$5/'Staffing Calculator'!$B$6))</f>
        <v/>
      </c>
      <c r="E28" s="56">
        <f>IF(E$1&lt;=$B28,0,1-_xlfn.POISSON.DIST(E$1,$B28,FALSE)/(_xlfn.POISSON.DIST(E$1,$B28,FALSE)+(1-$B28/E$1)*_xlfn.POISSON.DIST(E$1-1,$B28,TRUE))*EXP(-(E$1-$B28)*'Staffing Calculator'!$B$5/'Staffing Calculator'!$B$6))</f>
        <v/>
      </c>
      <c r="F28" s="56">
        <f>IF(F$1&lt;=$B28,0,1-_xlfn.POISSON.DIST(F$1,$B28,FALSE)/(_xlfn.POISSON.DIST(F$1,$B28,FALSE)+(1-$B28/F$1)*_xlfn.POISSON.DIST(F$1-1,$B28,TRUE))*EXP(-(F$1-$B28)*'Staffing Calculator'!$B$5/'Staffing Calculator'!$B$6))</f>
        <v/>
      </c>
      <c r="G28" s="56">
        <f>IF(G$1&lt;=$B28,0,1-_xlfn.POISSON.DIST(G$1,$B28,FALSE)/(_xlfn.POISSON.DIST(G$1,$B28,FALSE)+(1-$B28/G$1)*_xlfn.POISSON.DIST(G$1-1,$B28,TRUE))*EXP(-(G$1-$B28)*'Staffing Calculator'!$B$5/'Staffing Calculator'!$B$6))</f>
        <v/>
      </c>
      <c r="H28" s="56">
        <f>IF(H$1&lt;=$B28,0,1-_xlfn.POISSON.DIST(H$1,$B28,FALSE)/(_xlfn.POISSON.DIST(H$1,$B28,FALSE)+(1-$B28/H$1)*_xlfn.POISSON.DIST(H$1-1,$B28,TRUE))*EXP(-(H$1-$B28)*'Staffing Calculator'!$B$5/'Staffing Calculator'!$B$6))</f>
        <v/>
      </c>
      <c r="I28" s="56">
        <f>IF(I$1&lt;=$B28,0,1-_xlfn.POISSON.DIST(I$1,$B28,FALSE)/(_xlfn.POISSON.DIST(I$1,$B28,FALSE)+(1-$B28/I$1)*_xlfn.POISSON.DIST(I$1-1,$B28,TRUE))*EXP(-(I$1-$B28)*'Staffing Calculator'!$B$5/'Staffing Calculator'!$B$6))</f>
        <v/>
      </c>
      <c r="J28" s="56">
        <f>IF(J$1&lt;=$B28,0,1-_xlfn.POISSON.DIST(J$1,$B28,FALSE)/(_xlfn.POISSON.DIST(J$1,$B28,FALSE)+(1-$B28/J$1)*_xlfn.POISSON.DIST(J$1-1,$B28,TRUE))*EXP(-(J$1-$B28)*'Staffing Calculator'!$B$5/'Staffing Calculator'!$B$6))</f>
        <v/>
      </c>
      <c r="K28" s="56">
        <f>IF(K$1&lt;=$B28,0,1-_xlfn.POISSON.DIST(K$1,$B28,FALSE)/(_xlfn.POISSON.DIST(K$1,$B28,FALSE)+(1-$B28/K$1)*_xlfn.POISSON.DIST(K$1-1,$B28,TRUE))*EXP(-(K$1-$B28)*'Staffing Calculator'!$B$5/'Staffing Calculator'!$B$6))</f>
        <v/>
      </c>
      <c r="L28" s="56">
        <f>IF(L$1&lt;=$B28,0,1-_xlfn.POISSON.DIST(L$1,$B28,FALSE)/(_xlfn.POISSON.DIST(L$1,$B28,FALSE)+(1-$B28/L$1)*_xlfn.POISSON.DIST(L$1-1,$B28,TRUE))*EXP(-(L$1-$B28)*'Staffing Calculator'!$B$5/'Staffing Calculator'!$B$6))</f>
        <v/>
      </c>
      <c r="M28" s="56">
        <f>IF(M$1&lt;=$B28,0,1-_xlfn.POISSON.DIST(M$1,$B28,FALSE)/(_xlfn.POISSON.DIST(M$1,$B28,FALSE)+(1-$B28/M$1)*_xlfn.POISSON.DIST(M$1-1,$B28,TRUE))*EXP(-(M$1-$B28)*'Staffing Calculator'!$B$5/'Staffing Calculator'!$B$6))</f>
        <v/>
      </c>
      <c r="N28" s="56">
        <f>IF(N$1&lt;=$B28,0,1-_xlfn.POISSON.DIST(N$1,$B28,FALSE)/(_xlfn.POISSON.DIST(N$1,$B28,FALSE)+(1-$B28/N$1)*_xlfn.POISSON.DIST(N$1-1,$B28,TRUE))*EXP(-(N$1-$B28)*'Staffing Calculator'!$B$5/'Staffing Calculator'!$B$6))</f>
        <v/>
      </c>
      <c r="O28" s="56">
        <f>IF(O$1&lt;=$B28,0,1-_xlfn.POISSON.DIST(O$1,$B28,FALSE)/(_xlfn.POISSON.DIST(O$1,$B28,FALSE)+(1-$B28/O$1)*_xlfn.POISSON.DIST(O$1-1,$B28,TRUE))*EXP(-(O$1-$B28)*'Staffing Calculator'!$B$5/'Staffing Calculator'!$B$6))</f>
        <v/>
      </c>
      <c r="P28" s="56">
        <f>IF(P$1&lt;=$B28,0,1-_xlfn.POISSON.DIST(P$1,$B28,FALSE)/(_xlfn.POISSON.DIST(P$1,$B28,FALSE)+(1-$B28/P$1)*_xlfn.POISSON.DIST(P$1-1,$B28,TRUE))*EXP(-(P$1-$B28)*'Staffing Calculator'!$B$5/'Staffing Calculator'!$B$6))</f>
        <v/>
      </c>
      <c r="Q28" s="56">
        <f>IF(Q$1&lt;=$B28,0,1-_xlfn.POISSON.DIST(Q$1,$B28,FALSE)/(_xlfn.POISSON.DIST(Q$1,$B28,FALSE)+(1-$B28/Q$1)*_xlfn.POISSON.DIST(Q$1-1,$B28,TRUE))*EXP(-(Q$1-$B28)*'Staffing Calculator'!$B$5/'Staffing Calculator'!$B$6))</f>
        <v/>
      </c>
      <c r="R28" s="56">
        <f>IF(R$1&lt;=$B28,0,1-_xlfn.POISSON.DIST(R$1,$B28,FALSE)/(_xlfn.POISSON.DIST(R$1,$B28,FALSE)+(1-$B28/R$1)*_xlfn.POISSON.DIST(R$1-1,$B28,TRUE))*EXP(-(R$1-$B28)*'Staffing Calculator'!$B$5/'Staffing Calculator'!$B$6))</f>
        <v/>
      </c>
      <c r="S28" s="56">
        <f>IF(S$1&lt;=$B28,0,1-_xlfn.POISSON.DIST(S$1,$B28,FALSE)/(_xlfn.POISSON.DIST(S$1,$B28,FALSE)+(1-$B28/S$1)*_xlfn.POISSON.DIST(S$1-1,$B28,TRUE))*EXP(-(S$1-$B28)*'Staffing Calculator'!$B$5/'Staffing Calculator'!$B$6))</f>
        <v/>
      </c>
      <c r="T28" s="56">
        <f>IF(T$1&lt;=$B28,0,1-_xlfn.POISSON.DIST(T$1,$B28,FALSE)/(_xlfn.POISSON.DIST(T$1,$B28,FALSE)+(1-$B28/T$1)*_xlfn.POISSON.DIST(T$1-1,$B28,TRUE))*EXP(-(T$1-$B28)*'Staffing Calculator'!$B$5/'Staffing Calculator'!$B$6))</f>
        <v/>
      </c>
      <c r="U28" s="56">
        <f>IF(U$1&lt;=$B28,0,1-_xlfn.POISSON.DIST(U$1,$B28,FALSE)/(_xlfn.POISSON.DIST(U$1,$B28,FALSE)+(1-$B28/U$1)*_xlfn.POISSON.DIST(U$1-1,$B28,TRUE))*EXP(-(U$1-$B28)*'Staffing Calculator'!$B$5/'Staffing Calculator'!$B$6))</f>
        <v/>
      </c>
      <c r="V28" s="56">
        <f>IF(V$1&lt;=$B28,0,1-_xlfn.POISSON.DIST(V$1,$B28,FALSE)/(_xlfn.POISSON.DIST(V$1,$B28,FALSE)+(1-$B28/V$1)*_xlfn.POISSON.DIST(V$1-1,$B28,TRUE))*EXP(-(V$1-$B28)*'Staffing Calculator'!$B$5/'Staffing Calculator'!$B$6))</f>
        <v/>
      </c>
      <c r="W28" s="56">
        <f>IF(W$1&lt;=$B28,0,1-_xlfn.POISSON.DIST(W$1,$B28,FALSE)/(_xlfn.POISSON.DIST(W$1,$B28,FALSE)+(1-$B28/W$1)*_xlfn.POISSON.DIST(W$1-1,$B28,TRUE))*EXP(-(W$1-$B28)*'Staffing Calculator'!$B$5/'Staffing Calculator'!$B$6))</f>
        <v/>
      </c>
      <c r="X28" s="56">
        <f>IF(X$1&lt;=$B28,0,1-_xlfn.POISSON.DIST(X$1,$B28,FALSE)/(_xlfn.POISSON.DIST(X$1,$B28,FALSE)+(1-$B28/X$1)*_xlfn.POISSON.DIST(X$1-1,$B28,TRUE))*EXP(-(X$1-$B28)*'Staffing Calculator'!$B$5/'Staffing Calculator'!$B$6))</f>
        <v/>
      </c>
      <c r="Y28" s="56">
        <f>IF(Y$1&lt;=$B28,0,1-_xlfn.POISSON.DIST(Y$1,$B28,FALSE)/(_xlfn.POISSON.DIST(Y$1,$B28,FALSE)+(1-$B28/Y$1)*_xlfn.POISSON.DIST(Y$1-1,$B28,TRUE))*EXP(-(Y$1-$B28)*'Staffing Calculator'!$B$5/'Staffing Calculator'!$B$6))</f>
        <v/>
      </c>
      <c r="Z28" s="56">
        <f>IF(Z$1&lt;=$B28,0,1-_xlfn.POISSON.DIST(Z$1,$B28,FALSE)/(_xlfn.POISSON.DIST(Z$1,$B28,FALSE)+(1-$B28/Z$1)*_xlfn.POISSON.DIST(Z$1-1,$B28,TRUE))*EXP(-(Z$1-$B28)*'Staffing Calculator'!$B$5/'Staffing Calculator'!$B$6))</f>
        <v/>
      </c>
      <c r="AA28" s="56">
        <f>IF(AA$1&lt;=$B28,0,1-_xlfn.POISSON.DIST(AA$1,$B28,FALSE)/(_xlfn.POISSON.DIST(AA$1,$B28,FALSE)+(1-$B28/AA$1)*_xlfn.POISSON.DIST(AA$1-1,$B28,TRUE))*EXP(-(AA$1-$B28)*'Staffing Calculator'!$B$5/'Staffing Calculator'!$B$6))</f>
        <v/>
      </c>
      <c r="AB28" s="56">
        <f>IF(AB$1&lt;=$B28,0,1-_xlfn.POISSON.DIST(AB$1,$B28,FALSE)/(_xlfn.POISSON.DIST(AB$1,$B28,FALSE)+(1-$B28/AB$1)*_xlfn.POISSON.DIST(AB$1-1,$B28,TRUE))*EXP(-(AB$1-$B28)*'Staffing Calculator'!$B$5/'Staffing Calculator'!$B$6))</f>
        <v/>
      </c>
      <c r="AC28" s="56">
        <f>IF(AC$1&lt;=$B28,0,1-_xlfn.POISSON.DIST(AC$1,$B28,FALSE)/(_xlfn.POISSON.DIST(AC$1,$B28,FALSE)+(1-$B28/AC$1)*_xlfn.POISSON.DIST(AC$1-1,$B28,TRUE))*EXP(-(AC$1-$B28)*'Staffing Calculator'!$B$5/'Staffing Calculator'!$B$6))</f>
        <v/>
      </c>
      <c r="AD28" s="56">
        <f>IF(AD$1&lt;=$B28,0,1-_xlfn.POISSON.DIST(AD$1,$B28,FALSE)/(_xlfn.POISSON.DIST(AD$1,$B28,FALSE)+(1-$B28/AD$1)*_xlfn.POISSON.DIST(AD$1-1,$B28,TRUE))*EXP(-(AD$1-$B28)*'Staffing Calculator'!$B$5/'Staffing Calculator'!$B$6))</f>
        <v/>
      </c>
      <c r="AE28" s="56">
        <f>IF(AE$1&lt;=$B28,0,1-_xlfn.POISSON.DIST(AE$1,$B28,FALSE)/(_xlfn.POISSON.DIST(AE$1,$B28,FALSE)+(1-$B28/AE$1)*_xlfn.POISSON.DIST(AE$1-1,$B28,TRUE))*EXP(-(AE$1-$B28)*'Staffing Calculator'!$B$5/'Staffing Calculator'!$B$6))</f>
        <v/>
      </c>
      <c r="AF28" s="56">
        <f>IF(AF$1&lt;=$B28,0,1-_xlfn.POISSON.DIST(AF$1,$B28,FALSE)/(_xlfn.POISSON.DIST(AF$1,$B28,FALSE)+(1-$B28/AF$1)*_xlfn.POISSON.DIST(AF$1-1,$B28,TRUE))*EXP(-(AF$1-$B28)*'Staffing Calculator'!$B$5/'Staffing Calculator'!$B$6))</f>
        <v/>
      </c>
      <c r="AG28" s="56">
        <f>IF(AG$1&lt;=$B28,0,1-_xlfn.POISSON.DIST(AG$1,$B28,FALSE)/(_xlfn.POISSON.DIST(AG$1,$B28,FALSE)+(1-$B28/AG$1)*_xlfn.POISSON.DIST(AG$1-1,$B28,TRUE))*EXP(-(AG$1-$B28)*'Staffing Calculator'!$B$5/'Staffing Calculator'!$B$6))</f>
        <v/>
      </c>
      <c r="AH28" s="56">
        <f>IF(AH$1&lt;=$B28,0,1-_xlfn.POISSON.DIST(AH$1,$B28,FALSE)/(_xlfn.POISSON.DIST(AH$1,$B28,FALSE)+(1-$B28/AH$1)*_xlfn.POISSON.DIST(AH$1-1,$B28,TRUE))*EXP(-(AH$1-$B28)*'Staffing Calculator'!$B$5/'Staffing Calculator'!$B$6))</f>
        <v/>
      </c>
      <c r="AI28" s="56">
        <f>IF(AI$1&lt;=$B28,0,1-_xlfn.POISSON.DIST(AI$1,$B28,FALSE)/(_xlfn.POISSON.DIST(AI$1,$B28,FALSE)+(1-$B28/AI$1)*_xlfn.POISSON.DIST(AI$1-1,$B28,TRUE))*EXP(-(AI$1-$B28)*'Staffing Calculator'!$B$5/'Staffing Calculator'!$B$6))</f>
        <v/>
      </c>
      <c r="AJ28" s="56">
        <f>IF(AJ$1&lt;=$B28,0,1-_xlfn.POISSON.DIST(AJ$1,$B28,FALSE)/(_xlfn.POISSON.DIST(AJ$1,$B28,FALSE)+(1-$B28/AJ$1)*_xlfn.POISSON.DIST(AJ$1-1,$B28,TRUE))*EXP(-(AJ$1-$B28)*'Staffing Calculator'!$B$5/'Staffing Calculator'!$B$6))</f>
        <v/>
      </c>
      <c r="AK28" s="56">
        <f>IF(AK$1&lt;=$B28,0,1-_xlfn.POISSON.DIST(AK$1,$B28,FALSE)/(_xlfn.POISSON.DIST(AK$1,$B28,FALSE)+(1-$B28/AK$1)*_xlfn.POISSON.DIST(AK$1-1,$B28,TRUE))*EXP(-(AK$1-$B28)*'Staffing Calculator'!$B$5/'Staffing Calculator'!$B$6))</f>
        <v/>
      </c>
      <c r="AL28" s="56">
        <f>IF(AL$1&lt;=$B28,0,1-_xlfn.POISSON.DIST(AL$1,$B28,FALSE)/(_xlfn.POISSON.DIST(AL$1,$B28,FALSE)+(1-$B28/AL$1)*_xlfn.POISSON.DIST(AL$1-1,$B28,TRUE))*EXP(-(AL$1-$B28)*'Staffing Calculator'!$B$5/'Staffing Calculator'!$B$6))</f>
        <v/>
      </c>
      <c r="AM28" s="56">
        <f>IF(AM$1&lt;=$B28,0,1-_xlfn.POISSON.DIST(AM$1,$B28,FALSE)/(_xlfn.POISSON.DIST(AM$1,$B28,FALSE)+(1-$B28/AM$1)*_xlfn.POISSON.DIST(AM$1-1,$B28,TRUE))*EXP(-(AM$1-$B28)*'Staffing Calculator'!$B$5/'Staffing Calculator'!$B$6))</f>
        <v/>
      </c>
      <c r="AN28" s="56">
        <f>IF(AN$1&lt;=$B28,0,1-_xlfn.POISSON.DIST(AN$1,$B28,FALSE)/(_xlfn.POISSON.DIST(AN$1,$B28,FALSE)+(1-$B28/AN$1)*_xlfn.POISSON.DIST(AN$1-1,$B28,TRUE))*EXP(-(AN$1-$B28)*'Staffing Calculator'!$B$5/'Staffing Calculator'!$B$6))</f>
        <v/>
      </c>
      <c r="AO28" s="56">
        <f>IF(AO$1&lt;=$B28,0,1-_xlfn.POISSON.DIST(AO$1,$B28,FALSE)/(_xlfn.POISSON.DIST(AO$1,$B28,FALSE)+(1-$B28/AO$1)*_xlfn.POISSON.DIST(AO$1-1,$B28,TRUE))*EXP(-(AO$1-$B28)*'Staffing Calculator'!$B$5/'Staffing Calculator'!$B$6))</f>
        <v/>
      </c>
      <c r="AP28" s="56">
        <f>IF(AP$1&lt;=$B28,0,1-_xlfn.POISSON.DIST(AP$1,$B28,FALSE)/(_xlfn.POISSON.DIST(AP$1,$B28,FALSE)+(1-$B28/AP$1)*_xlfn.POISSON.DIST(AP$1-1,$B28,TRUE))*EXP(-(AP$1-$B28)*'Staffing Calculator'!$B$5/'Staffing Calculator'!$B$6))</f>
        <v/>
      </c>
      <c r="AQ28" s="56">
        <f>IF(AQ$1&lt;=$B28,0,1-_xlfn.POISSON.DIST(AQ$1,$B28,FALSE)/(_xlfn.POISSON.DIST(AQ$1,$B28,FALSE)+(1-$B28/AQ$1)*_xlfn.POISSON.DIST(AQ$1-1,$B28,TRUE))*EXP(-(AQ$1-$B28)*'Staffing Calculator'!$B$5/'Staffing Calculator'!$B$6))</f>
        <v/>
      </c>
      <c r="AR28" s="56">
        <f>IF(AR$1&lt;=$B28,0,1-_xlfn.POISSON.DIST(AR$1,$B28,FALSE)/(_xlfn.POISSON.DIST(AR$1,$B28,FALSE)+(1-$B28/AR$1)*_xlfn.POISSON.DIST(AR$1-1,$B28,TRUE))*EXP(-(AR$1-$B28)*'Staffing Calculator'!$B$5/'Staffing Calculator'!$B$6))</f>
        <v/>
      </c>
      <c r="AS28" s="56">
        <f>IF(AS$1&lt;=$B28,0,1-_xlfn.POISSON.DIST(AS$1,$B28,FALSE)/(_xlfn.POISSON.DIST(AS$1,$B28,FALSE)+(1-$B28/AS$1)*_xlfn.POISSON.DIST(AS$1-1,$B28,TRUE))*EXP(-(AS$1-$B28)*'Staffing Calculator'!$B$5/'Staffing Calculator'!$B$6))</f>
        <v/>
      </c>
      <c r="AT28" s="56">
        <f>IF(AT$1&lt;=$B28,0,1-_xlfn.POISSON.DIST(AT$1,$B28,FALSE)/(_xlfn.POISSON.DIST(AT$1,$B28,FALSE)+(1-$B28/AT$1)*_xlfn.POISSON.DIST(AT$1-1,$B28,TRUE))*EXP(-(AT$1-$B28)*'Staffing Calculator'!$B$5/'Staffing Calculator'!$B$6))</f>
        <v/>
      </c>
      <c r="AU28" s="56">
        <f>IF(AU$1&lt;=$B28,0,1-_xlfn.POISSON.DIST(AU$1,$B28,FALSE)/(_xlfn.POISSON.DIST(AU$1,$B28,FALSE)+(1-$B28/AU$1)*_xlfn.POISSON.DIST(AU$1-1,$B28,TRUE))*EXP(-(AU$1-$B28)*'Staffing Calculator'!$B$5/'Staffing Calculator'!$B$6))</f>
        <v/>
      </c>
      <c r="AV28" s="56">
        <f>IF(AV$1&lt;=$B28,0,1-_xlfn.POISSON.DIST(AV$1,$B28,FALSE)/(_xlfn.POISSON.DIST(AV$1,$B28,FALSE)+(1-$B28/AV$1)*_xlfn.POISSON.DIST(AV$1-1,$B28,TRUE))*EXP(-(AV$1-$B28)*'Staffing Calculator'!$B$5/'Staffing Calculator'!$B$6))</f>
        <v/>
      </c>
      <c r="AW28" s="56">
        <f>IF(AW$1&lt;=$B28,0,1-_xlfn.POISSON.DIST(AW$1,$B28,FALSE)/(_xlfn.POISSON.DIST(AW$1,$B28,FALSE)+(1-$B28/AW$1)*_xlfn.POISSON.DIST(AW$1-1,$B28,TRUE))*EXP(-(AW$1-$B28)*'Staffing Calculator'!$B$5/'Staffing Calculator'!$B$6))</f>
        <v/>
      </c>
      <c r="AX28" s="56">
        <f>IF(AX$1&lt;=$B28,0,1-_xlfn.POISSON.DIST(AX$1,$B28,FALSE)/(_xlfn.POISSON.DIST(AX$1,$B28,FALSE)+(1-$B28/AX$1)*_xlfn.POISSON.DIST(AX$1-1,$B28,TRUE))*EXP(-(AX$1-$B28)*'Staffing Calculator'!$B$5/'Staffing Calculator'!$B$6))</f>
        <v/>
      </c>
      <c r="AY28" s="56">
        <f>IF(AY$1&lt;=$B28,0,1-_xlfn.POISSON.DIST(AY$1,$B28,FALSE)/(_xlfn.POISSON.DIST(AY$1,$B28,FALSE)+(1-$B28/AY$1)*_xlfn.POISSON.DIST(AY$1-1,$B28,TRUE))*EXP(-(AY$1-$B28)*'Staffing Calculator'!$B$5/'Staffing Calculator'!$B$6))</f>
        <v/>
      </c>
      <c r="AZ28" s="56">
        <f>IF(AZ$1&lt;=$B28,0,1-_xlfn.POISSON.DIST(AZ$1,$B28,FALSE)/(_xlfn.POISSON.DIST(AZ$1,$B28,FALSE)+(1-$B28/AZ$1)*_xlfn.POISSON.DIST(AZ$1-1,$B28,TRUE))*EXP(-(AZ$1-$B28)*'Staffing Calculator'!$B$5/'Staffing Calculator'!$B$6))</f>
        <v/>
      </c>
      <c r="BA28" s="56">
        <f>IF(BA$1&lt;=$B28,0,1-_xlfn.POISSON.DIST(BA$1,$B28,FALSE)/(_xlfn.POISSON.DIST(BA$1,$B28,FALSE)+(1-$B28/BA$1)*_xlfn.POISSON.DIST(BA$1-1,$B28,TRUE))*EXP(-(BA$1-$B28)*'Staffing Calculator'!$B$5/'Staffing Calculator'!$B$6))</f>
        <v/>
      </c>
      <c r="BB28" s="56">
        <f>IF(BB$1&lt;=$B28,0,1-_xlfn.POISSON.DIST(BB$1,$B28,FALSE)/(_xlfn.POISSON.DIST(BB$1,$B28,FALSE)+(1-$B28/BB$1)*_xlfn.POISSON.DIST(BB$1-1,$B28,TRUE))*EXP(-(BB$1-$B28)*'Staffing Calculator'!$B$5/'Staffing Calculator'!$B$6))</f>
        <v/>
      </c>
      <c r="BC28" s="56">
        <f>IF(BC$1&lt;=$B28,0,1-_xlfn.POISSON.DIST(BC$1,$B28,FALSE)/(_xlfn.POISSON.DIST(BC$1,$B28,FALSE)+(1-$B28/BC$1)*_xlfn.POISSON.DIST(BC$1-1,$B28,TRUE))*EXP(-(BC$1-$B28)*'Staffing Calculator'!$B$5/'Staffing Calculator'!$B$6))</f>
        <v/>
      </c>
      <c r="BD28" s="56">
        <f>IF(BD$1&lt;=$B28,0,1-_xlfn.POISSON.DIST(BD$1,$B28,FALSE)/(_xlfn.POISSON.DIST(BD$1,$B28,FALSE)+(1-$B28/BD$1)*_xlfn.POISSON.DIST(BD$1-1,$B28,TRUE))*EXP(-(BD$1-$B28)*'Staffing Calculator'!$B$5/'Staffing Calculator'!$B$6))</f>
        <v/>
      </c>
      <c r="BE28" s="56">
        <f>IF(BE$1&lt;=$B28,0,1-_xlfn.POISSON.DIST(BE$1,$B28,FALSE)/(_xlfn.POISSON.DIST(BE$1,$B28,FALSE)+(1-$B28/BE$1)*_xlfn.POISSON.DIST(BE$1-1,$B28,TRUE))*EXP(-(BE$1-$B28)*'Staffing Calculator'!$B$5/'Staffing Calculator'!$B$6))</f>
        <v/>
      </c>
      <c r="BF28" s="56">
        <f>IF(BF$1&lt;=$B28,0,1-_xlfn.POISSON.DIST(BF$1,$B28,FALSE)/(_xlfn.POISSON.DIST(BF$1,$B28,FALSE)+(1-$B28/BF$1)*_xlfn.POISSON.DIST(BF$1-1,$B28,TRUE))*EXP(-(BF$1-$B28)*'Staffing Calculator'!$B$5/'Staffing Calculator'!$B$6))</f>
        <v/>
      </c>
      <c r="BG28" s="56">
        <f>IF(BG$1&lt;=$B28,0,1-_xlfn.POISSON.DIST(BG$1,$B28,FALSE)/(_xlfn.POISSON.DIST(BG$1,$B28,FALSE)+(1-$B28/BG$1)*_xlfn.POISSON.DIST(BG$1-1,$B28,TRUE))*EXP(-(BG$1-$B28)*'Staffing Calculator'!$B$5/'Staffing Calculator'!$B$6))</f>
        <v/>
      </c>
      <c r="BH28" s="56">
        <f>IF(BH$1&lt;=$B28,0,1-_xlfn.POISSON.DIST(BH$1,$B28,FALSE)/(_xlfn.POISSON.DIST(BH$1,$B28,FALSE)+(1-$B28/BH$1)*_xlfn.POISSON.DIST(BH$1-1,$B28,TRUE))*EXP(-(BH$1-$B28)*'Staffing Calculator'!$B$5/'Staffing Calculator'!$B$6))</f>
        <v/>
      </c>
      <c r="BI28" s="56">
        <f>IF(BI$1&lt;=$B28,0,1-_xlfn.POISSON.DIST(BI$1,$B28,FALSE)/(_xlfn.POISSON.DIST(BI$1,$B28,FALSE)+(1-$B28/BI$1)*_xlfn.POISSON.DIST(BI$1-1,$B28,TRUE))*EXP(-(BI$1-$B28)*'Staffing Calculator'!$B$5/'Staffing Calculator'!$B$6))</f>
        <v/>
      </c>
      <c r="BJ28" s="56">
        <f>IF(BJ$1&lt;=$B28,0,1-_xlfn.POISSON.DIST(BJ$1,$B28,FALSE)/(_xlfn.POISSON.DIST(BJ$1,$B28,FALSE)+(1-$B28/BJ$1)*_xlfn.POISSON.DIST(BJ$1-1,$B28,TRUE))*EXP(-(BJ$1-$B28)*'Staffing Calculator'!$B$5/'Staffing Calculator'!$B$6))</f>
        <v/>
      </c>
    </row>
    <row r="29">
      <c r="A29" s="54">
        <f>'Staffing Calculator'!A29</f>
        <v/>
      </c>
      <c r="B29" s="55">
        <f>'Staffing Calculator'!C29</f>
        <v/>
      </c>
      <c r="C29" s="56">
        <f>IF(C$1&lt;=$B29,0,1-_xlfn.POISSON.DIST(C$1,$B29,FALSE)/(_xlfn.POISSON.DIST(C$1,$B29,FALSE)+(1-$B29/C$1)*_xlfn.POISSON.DIST(C$1-1,$B29,TRUE))*EXP(-(C$1-$B29)*'Staffing Calculator'!$B$5/'Staffing Calculator'!$B$6))</f>
        <v/>
      </c>
      <c r="D29" s="56">
        <f>IF(D$1&lt;=$B29,0,1-_xlfn.POISSON.DIST(D$1,$B29,FALSE)/(_xlfn.POISSON.DIST(D$1,$B29,FALSE)+(1-$B29/D$1)*_xlfn.POISSON.DIST(D$1-1,$B29,TRUE))*EXP(-(D$1-$B29)*'Staffing Calculator'!$B$5/'Staffing Calculator'!$B$6))</f>
        <v/>
      </c>
      <c r="E29" s="56">
        <f>IF(E$1&lt;=$B29,0,1-_xlfn.POISSON.DIST(E$1,$B29,FALSE)/(_xlfn.POISSON.DIST(E$1,$B29,FALSE)+(1-$B29/E$1)*_xlfn.POISSON.DIST(E$1-1,$B29,TRUE))*EXP(-(E$1-$B29)*'Staffing Calculator'!$B$5/'Staffing Calculator'!$B$6))</f>
        <v/>
      </c>
      <c r="F29" s="56">
        <f>IF(F$1&lt;=$B29,0,1-_xlfn.POISSON.DIST(F$1,$B29,FALSE)/(_xlfn.POISSON.DIST(F$1,$B29,FALSE)+(1-$B29/F$1)*_xlfn.POISSON.DIST(F$1-1,$B29,TRUE))*EXP(-(F$1-$B29)*'Staffing Calculator'!$B$5/'Staffing Calculator'!$B$6))</f>
        <v/>
      </c>
      <c r="G29" s="56">
        <f>IF(G$1&lt;=$B29,0,1-_xlfn.POISSON.DIST(G$1,$B29,FALSE)/(_xlfn.POISSON.DIST(G$1,$B29,FALSE)+(1-$B29/G$1)*_xlfn.POISSON.DIST(G$1-1,$B29,TRUE))*EXP(-(G$1-$B29)*'Staffing Calculator'!$B$5/'Staffing Calculator'!$B$6))</f>
        <v/>
      </c>
      <c r="H29" s="56">
        <f>IF(H$1&lt;=$B29,0,1-_xlfn.POISSON.DIST(H$1,$B29,FALSE)/(_xlfn.POISSON.DIST(H$1,$B29,FALSE)+(1-$B29/H$1)*_xlfn.POISSON.DIST(H$1-1,$B29,TRUE))*EXP(-(H$1-$B29)*'Staffing Calculator'!$B$5/'Staffing Calculator'!$B$6))</f>
        <v/>
      </c>
      <c r="I29" s="56">
        <f>IF(I$1&lt;=$B29,0,1-_xlfn.POISSON.DIST(I$1,$B29,FALSE)/(_xlfn.POISSON.DIST(I$1,$B29,FALSE)+(1-$B29/I$1)*_xlfn.POISSON.DIST(I$1-1,$B29,TRUE))*EXP(-(I$1-$B29)*'Staffing Calculator'!$B$5/'Staffing Calculator'!$B$6))</f>
        <v/>
      </c>
      <c r="J29" s="56">
        <f>IF(J$1&lt;=$B29,0,1-_xlfn.POISSON.DIST(J$1,$B29,FALSE)/(_xlfn.POISSON.DIST(J$1,$B29,FALSE)+(1-$B29/J$1)*_xlfn.POISSON.DIST(J$1-1,$B29,TRUE))*EXP(-(J$1-$B29)*'Staffing Calculator'!$B$5/'Staffing Calculator'!$B$6))</f>
        <v/>
      </c>
      <c r="K29" s="56">
        <f>IF(K$1&lt;=$B29,0,1-_xlfn.POISSON.DIST(K$1,$B29,FALSE)/(_xlfn.POISSON.DIST(K$1,$B29,FALSE)+(1-$B29/K$1)*_xlfn.POISSON.DIST(K$1-1,$B29,TRUE))*EXP(-(K$1-$B29)*'Staffing Calculator'!$B$5/'Staffing Calculator'!$B$6))</f>
        <v/>
      </c>
      <c r="L29" s="56">
        <f>IF(L$1&lt;=$B29,0,1-_xlfn.POISSON.DIST(L$1,$B29,FALSE)/(_xlfn.POISSON.DIST(L$1,$B29,FALSE)+(1-$B29/L$1)*_xlfn.POISSON.DIST(L$1-1,$B29,TRUE))*EXP(-(L$1-$B29)*'Staffing Calculator'!$B$5/'Staffing Calculator'!$B$6))</f>
        <v/>
      </c>
      <c r="M29" s="56">
        <f>IF(M$1&lt;=$B29,0,1-_xlfn.POISSON.DIST(M$1,$B29,FALSE)/(_xlfn.POISSON.DIST(M$1,$B29,FALSE)+(1-$B29/M$1)*_xlfn.POISSON.DIST(M$1-1,$B29,TRUE))*EXP(-(M$1-$B29)*'Staffing Calculator'!$B$5/'Staffing Calculator'!$B$6))</f>
        <v/>
      </c>
      <c r="N29" s="56">
        <f>IF(N$1&lt;=$B29,0,1-_xlfn.POISSON.DIST(N$1,$B29,FALSE)/(_xlfn.POISSON.DIST(N$1,$B29,FALSE)+(1-$B29/N$1)*_xlfn.POISSON.DIST(N$1-1,$B29,TRUE))*EXP(-(N$1-$B29)*'Staffing Calculator'!$B$5/'Staffing Calculator'!$B$6))</f>
        <v/>
      </c>
      <c r="O29" s="56">
        <f>IF(O$1&lt;=$B29,0,1-_xlfn.POISSON.DIST(O$1,$B29,FALSE)/(_xlfn.POISSON.DIST(O$1,$B29,FALSE)+(1-$B29/O$1)*_xlfn.POISSON.DIST(O$1-1,$B29,TRUE))*EXP(-(O$1-$B29)*'Staffing Calculator'!$B$5/'Staffing Calculator'!$B$6))</f>
        <v/>
      </c>
      <c r="P29" s="56">
        <f>IF(P$1&lt;=$B29,0,1-_xlfn.POISSON.DIST(P$1,$B29,FALSE)/(_xlfn.POISSON.DIST(P$1,$B29,FALSE)+(1-$B29/P$1)*_xlfn.POISSON.DIST(P$1-1,$B29,TRUE))*EXP(-(P$1-$B29)*'Staffing Calculator'!$B$5/'Staffing Calculator'!$B$6))</f>
        <v/>
      </c>
      <c r="Q29" s="56">
        <f>IF(Q$1&lt;=$B29,0,1-_xlfn.POISSON.DIST(Q$1,$B29,FALSE)/(_xlfn.POISSON.DIST(Q$1,$B29,FALSE)+(1-$B29/Q$1)*_xlfn.POISSON.DIST(Q$1-1,$B29,TRUE))*EXP(-(Q$1-$B29)*'Staffing Calculator'!$B$5/'Staffing Calculator'!$B$6))</f>
        <v/>
      </c>
      <c r="R29" s="56">
        <f>IF(R$1&lt;=$B29,0,1-_xlfn.POISSON.DIST(R$1,$B29,FALSE)/(_xlfn.POISSON.DIST(R$1,$B29,FALSE)+(1-$B29/R$1)*_xlfn.POISSON.DIST(R$1-1,$B29,TRUE))*EXP(-(R$1-$B29)*'Staffing Calculator'!$B$5/'Staffing Calculator'!$B$6))</f>
        <v/>
      </c>
      <c r="S29" s="56">
        <f>IF(S$1&lt;=$B29,0,1-_xlfn.POISSON.DIST(S$1,$B29,FALSE)/(_xlfn.POISSON.DIST(S$1,$B29,FALSE)+(1-$B29/S$1)*_xlfn.POISSON.DIST(S$1-1,$B29,TRUE))*EXP(-(S$1-$B29)*'Staffing Calculator'!$B$5/'Staffing Calculator'!$B$6))</f>
        <v/>
      </c>
      <c r="T29" s="56">
        <f>IF(T$1&lt;=$B29,0,1-_xlfn.POISSON.DIST(T$1,$B29,FALSE)/(_xlfn.POISSON.DIST(T$1,$B29,FALSE)+(1-$B29/T$1)*_xlfn.POISSON.DIST(T$1-1,$B29,TRUE))*EXP(-(T$1-$B29)*'Staffing Calculator'!$B$5/'Staffing Calculator'!$B$6))</f>
        <v/>
      </c>
      <c r="U29" s="56">
        <f>IF(U$1&lt;=$B29,0,1-_xlfn.POISSON.DIST(U$1,$B29,FALSE)/(_xlfn.POISSON.DIST(U$1,$B29,FALSE)+(1-$B29/U$1)*_xlfn.POISSON.DIST(U$1-1,$B29,TRUE))*EXP(-(U$1-$B29)*'Staffing Calculator'!$B$5/'Staffing Calculator'!$B$6))</f>
        <v/>
      </c>
      <c r="V29" s="56">
        <f>IF(V$1&lt;=$B29,0,1-_xlfn.POISSON.DIST(V$1,$B29,FALSE)/(_xlfn.POISSON.DIST(V$1,$B29,FALSE)+(1-$B29/V$1)*_xlfn.POISSON.DIST(V$1-1,$B29,TRUE))*EXP(-(V$1-$B29)*'Staffing Calculator'!$B$5/'Staffing Calculator'!$B$6))</f>
        <v/>
      </c>
      <c r="W29" s="56">
        <f>IF(W$1&lt;=$B29,0,1-_xlfn.POISSON.DIST(W$1,$B29,FALSE)/(_xlfn.POISSON.DIST(W$1,$B29,FALSE)+(1-$B29/W$1)*_xlfn.POISSON.DIST(W$1-1,$B29,TRUE))*EXP(-(W$1-$B29)*'Staffing Calculator'!$B$5/'Staffing Calculator'!$B$6))</f>
        <v/>
      </c>
      <c r="X29" s="56">
        <f>IF(X$1&lt;=$B29,0,1-_xlfn.POISSON.DIST(X$1,$B29,FALSE)/(_xlfn.POISSON.DIST(X$1,$B29,FALSE)+(1-$B29/X$1)*_xlfn.POISSON.DIST(X$1-1,$B29,TRUE))*EXP(-(X$1-$B29)*'Staffing Calculator'!$B$5/'Staffing Calculator'!$B$6))</f>
        <v/>
      </c>
      <c r="Y29" s="56">
        <f>IF(Y$1&lt;=$B29,0,1-_xlfn.POISSON.DIST(Y$1,$B29,FALSE)/(_xlfn.POISSON.DIST(Y$1,$B29,FALSE)+(1-$B29/Y$1)*_xlfn.POISSON.DIST(Y$1-1,$B29,TRUE))*EXP(-(Y$1-$B29)*'Staffing Calculator'!$B$5/'Staffing Calculator'!$B$6))</f>
        <v/>
      </c>
      <c r="Z29" s="56">
        <f>IF(Z$1&lt;=$B29,0,1-_xlfn.POISSON.DIST(Z$1,$B29,FALSE)/(_xlfn.POISSON.DIST(Z$1,$B29,FALSE)+(1-$B29/Z$1)*_xlfn.POISSON.DIST(Z$1-1,$B29,TRUE))*EXP(-(Z$1-$B29)*'Staffing Calculator'!$B$5/'Staffing Calculator'!$B$6))</f>
        <v/>
      </c>
      <c r="AA29" s="56">
        <f>IF(AA$1&lt;=$B29,0,1-_xlfn.POISSON.DIST(AA$1,$B29,FALSE)/(_xlfn.POISSON.DIST(AA$1,$B29,FALSE)+(1-$B29/AA$1)*_xlfn.POISSON.DIST(AA$1-1,$B29,TRUE))*EXP(-(AA$1-$B29)*'Staffing Calculator'!$B$5/'Staffing Calculator'!$B$6))</f>
        <v/>
      </c>
      <c r="AB29" s="56">
        <f>IF(AB$1&lt;=$B29,0,1-_xlfn.POISSON.DIST(AB$1,$B29,FALSE)/(_xlfn.POISSON.DIST(AB$1,$B29,FALSE)+(1-$B29/AB$1)*_xlfn.POISSON.DIST(AB$1-1,$B29,TRUE))*EXP(-(AB$1-$B29)*'Staffing Calculator'!$B$5/'Staffing Calculator'!$B$6))</f>
        <v/>
      </c>
      <c r="AC29" s="56">
        <f>IF(AC$1&lt;=$B29,0,1-_xlfn.POISSON.DIST(AC$1,$B29,FALSE)/(_xlfn.POISSON.DIST(AC$1,$B29,FALSE)+(1-$B29/AC$1)*_xlfn.POISSON.DIST(AC$1-1,$B29,TRUE))*EXP(-(AC$1-$B29)*'Staffing Calculator'!$B$5/'Staffing Calculator'!$B$6))</f>
        <v/>
      </c>
      <c r="AD29" s="56">
        <f>IF(AD$1&lt;=$B29,0,1-_xlfn.POISSON.DIST(AD$1,$B29,FALSE)/(_xlfn.POISSON.DIST(AD$1,$B29,FALSE)+(1-$B29/AD$1)*_xlfn.POISSON.DIST(AD$1-1,$B29,TRUE))*EXP(-(AD$1-$B29)*'Staffing Calculator'!$B$5/'Staffing Calculator'!$B$6))</f>
        <v/>
      </c>
      <c r="AE29" s="56">
        <f>IF(AE$1&lt;=$B29,0,1-_xlfn.POISSON.DIST(AE$1,$B29,FALSE)/(_xlfn.POISSON.DIST(AE$1,$B29,FALSE)+(1-$B29/AE$1)*_xlfn.POISSON.DIST(AE$1-1,$B29,TRUE))*EXP(-(AE$1-$B29)*'Staffing Calculator'!$B$5/'Staffing Calculator'!$B$6))</f>
        <v/>
      </c>
      <c r="AF29" s="56">
        <f>IF(AF$1&lt;=$B29,0,1-_xlfn.POISSON.DIST(AF$1,$B29,FALSE)/(_xlfn.POISSON.DIST(AF$1,$B29,FALSE)+(1-$B29/AF$1)*_xlfn.POISSON.DIST(AF$1-1,$B29,TRUE))*EXP(-(AF$1-$B29)*'Staffing Calculator'!$B$5/'Staffing Calculator'!$B$6))</f>
        <v/>
      </c>
      <c r="AG29" s="56">
        <f>IF(AG$1&lt;=$B29,0,1-_xlfn.POISSON.DIST(AG$1,$B29,FALSE)/(_xlfn.POISSON.DIST(AG$1,$B29,FALSE)+(1-$B29/AG$1)*_xlfn.POISSON.DIST(AG$1-1,$B29,TRUE))*EXP(-(AG$1-$B29)*'Staffing Calculator'!$B$5/'Staffing Calculator'!$B$6))</f>
        <v/>
      </c>
      <c r="AH29" s="56">
        <f>IF(AH$1&lt;=$B29,0,1-_xlfn.POISSON.DIST(AH$1,$B29,FALSE)/(_xlfn.POISSON.DIST(AH$1,$B29,FALSE)+(1-$B29/AH$1)*_xlfn.POISSON.DIST(AH$1-1,$B29,TRUE))*EXP(-(AH$1-$B29)*'Staffing Calculator'!$B$5/'Staffing Calculator'!$B$6))</f>
        <v/>
      </c>
      <c r="AI29" s="56">
        <f>IF(AI$1&lt;=$B29,0,1-_xlfn.POISSON.DIST(AI$1,$B29,FALSE)/(_xlfn.POISSON.DIST(AI$1,$B29,FALSE)+(1-$B29/AI$1)*_xlfn.POISSON.DIST(AI$1-1,$B29,TRUE))*EXP(-(AI$1-$B29)*'Staffing Calculator'!$B$5/'Staffing Calculator'!$B$6))</f>
        <v/>
      </c>
      <c r="AJ29" s="56">
        <f>IF(AJ$1&lt;=$B29,0,1-_xlfn.POISSON.DIST(AJ$1,$B29,FALSE)/(_xlfn.POISSON.DIST(AJ$1,$B29,FALSE)+(1-$B29/AJ$1)*_xlfn.POISSON.DIST(AJ$1-1,$B29,TRUE))*EXP(-(AJ$1-$B29)*'Staffing Calculator'!$B$5/'Staffing Calculator'!$B$6))</f>
        <v/>
      </c>
      <c r="AK29" s="56">
        <f>IF(AK$1&lt;=$B29,0,1-_xlfn.POISSON.DIST(AK$1,$B29,FALSE)/(_xlfn.POISSON.DIST(AK$1,$B29,FALSE)+(1-$B29/AK$1)*_xlfn.POISSON.DIST(AK$1-1,$B29,TRUE))*EXP(-(AK$1-$B29)*'Staffing Calculator'!$B$5/'Staffing Calculator'!$B$6))</f>
        <v/>
      </c>
      <c r="AL29" s="56">
        <f>IF(AL$1&lt;=$B29,0,1-_xlfn.POISSON.DIST(AL$1,$B29,FALSE)/(_xlfn.POISSON.DIST(AL$1,$B29,FALSE)+(1-$B29/AL$1)*_xlfn.POISSON.DIST(AL$1-1,$B29,TRUE))*EXP(-(AL$1-$B29)*'Staffing Calculator'!$B$5/'Staffing Calculator'!$B$6))</f>
        <v/>
      </c>
      <c r="AM29" s="56">
        <f>IF(AM$1&lt;=$B29,0,1-_xlfn.POISSON.DIST(AM$1,$B29,FALSE)/(_xlfn.POISSON.DIST(AM$1,$B29,FALSE)+(1-$B29/AM$1)*_xlfn.POISSON.DIST(AM$1-1,$B29,TRUE))*EXP(-(AM$1-$B29)*'Staffing Calculator'!$B$5/'Staffing Calculator'!$B$6))</f>
        <v/>
      </c>
      <c r="AN29" s="56">
        <f>IF(AN$1&lt;=$B29,0,1-_xlfn.POISSON.DIST(AN$1,$B29,FALSE)/(_xlfn.POISSON.DIST(AN$1,$B29,FALSE)+(1-$B29/AN$1)*_xlfn.POISSON.DIST(AN$1-1,$B29,TRUE))*EXP(-(AN$1-$B29)*'Staffing Calculator'!$B$5/'Staffing Calculator'!$B$6))</f>
        <v/>
      </c>
      <c r="AO29" s="56">
        <f>IF(AO$1&lt;=$B29,0,1-_xlfn.POISSON.DIST(AO$1,$B29,FALSE)/(_xlfn.POISSON.DIST(AO$1,$B29,FALSE)+(1-$B29/AO$1)*_xlfn.POISSON.DIST(AO$1-1,$B29,TRUE))*EXP(-(AO$1-$B29)*'Staffing Calculator'!$B$5/'Staffing Calculator'!$B$6))</f>
        <v/>
      </c>
      <c r="AP29" s="56">
        <f>IF(AP$1&lt;=$B29,0,1-_xlfn.POISSON.DIST(AP$1,$B29,FALSE)/(_xlfn.POISSON.DIST(AP$1,$B29,FALSE)+(1-$B29/AP$1)*_xlfn.POISSON.DIST(AP$1-1,$B29,TRUE))*EXP(-(AP$1-$B29)*'Staffing Calculator'!$B$5/'Staffing Calculator'!$B$6))</f>
        <v/>
      </c>
      <c r="AQ29" s="56">
        <f>IF(AQ$1&lt;=$B29,0,1-_xlfn.POISSON.DIST(AQ$1,$B29,FALSE)/(_xlfn.POISSON.DIST(AQ$1,$B29,FALSE)+(1-$B29/AQ$1)*_xlfn.POISSON.DIST(AQ$1-1,$B29,TRUE))*EXP(-(AQ$1-$B29)*'Staffing Calculator'!$B$5/'Staffing Calculator'!$B$6))</f>
        <v/>
      </c>
      <c r="AR29" s="56">
        <f>IF(AR$1&lt;=$B29,0,1-_xlfn.POISSON.DIST(AR$1,$B29,FALSE)/(_xlfn.POISSON.DIST(AR$1,$B29,FALSE)+(1-$B29/AR$1)*_xlfn.POISSON.DIST(AR$1-1,$B29,TRUE))*EXP(-(AR$1-$B29)*'Staffing Calculator'!$B$5/'Staffing Calculator'!$B$6))</f>
        <v/>
      </c>
      <c r="AS29" s="56">
        <f>IF(AS$1&lt;=$B29,0,1-_xlfn.POISSON.DIST(AS$1,$B29,FALSE)/(_xlfn.POISSON.DIST(AS$1,$B29,FALSE)+(1-$B29/AS$1)*_xlfn.POISSON.DIST(AS$1-1,$B29,TRUE))*EXP(-(AS$1-$B29)*'Staffing Calculator'!$B$5/'Staffing Calculator'!$B$6))</f>
        <v/>
      </c>
      <c r="AT29" s="56">
        <f>IF(AT$1&lt;=$B29,0,1-_xlfn.POISSON.DIST(AT$1,$B29,FALSE)/(_xlfn.POISSON.DIST(AT$1,$B29,FALSE)+(1-$B29/AT$1)*_xlfn.POISSON.DIST(AT$1-1,$B29,TRUE))*EXP(-(AT$1-$B29)*'Staffing Calculator'!$B$5/'Staffing Calculator'!$B$6))</f>
        <v/>
      </c>
      <c r="AU29" s="56">
        <f>IF(AU$1&lt;=$B29,0,1-_xlfn.POISSON.DIST(AU$1,$B29,FALSE)/(_xlfn.POISSON.DIST(AU$1,$B29,FALSE)+(1-$B29/AU$1)*_xlfn.POISSON.DIST(AU$1-1,$B29,TRUE))*EXP(-(AU$1-$B29)*'Staffing Calculator'!$B$5/'Staffing Calculator'!$B$6))</f>
        <v/>
      </c>
      <c r="AV29" s="56">
        <f>IF(AV$1&lt;=$B29,0,1-_xlfn.POISSON.DIST(AV$1,$B29,FALSE)/(_xlfn.POISSON.DIST(AV$1,$B29,FALSE)+(1-$B29/AV$1)*_xlfn.POISSON.DIST(AV$1-1,$B29,TRUE))*EXP(-(AV$1-$B29)*'Staffing Calculator'!$B$5/'Staffing Calculator'!$B$6))</f>
        <v/>
      </c>
      <c r="AW29" s="56">
        <f>IF(AW$1&lt;=$B29,0,1-_xlfn.POISSON.DIST(AW$1,$B29,FALSE)/(_xlfn.POISSON.DIST(AW$1,$B29,FALSE)+(1-$B29/AW$1)*_xlfn.POISSON.DIST(AW$1-1,$B29,TRUE))*EXP(-(AW$1-$B29)*'Staffing Calculator'!$B$5/'Staffing Calculator'!$B$6))</f>
        <v/>
      </c>
      <c r="AX29" s="56">
        <f>IF(AX$1&lt;=$B29,0,1-_xlfn.POISSON.DIST(AX$1,$B29,FALSE)/(_xlfn.POISSON.DIST(AX$1,$B29,FALSE)+(1-$B29/AX$1)*_xlfn.POISSON.DIST(AX$1-1,$B29,TRUE))*EXP(-(AX$1-$B29)*'Staffing Calculator'!$B$5/'Staffing Calculator'!$B$6))</f>
        <v/>
      </c>
      <c r="AY29" s="56">
        <f>IF(AY$1&lt;=$B29,0,1-_xlfn.POISSON.DIST(AY$1,$B29,FALSE)/(_xlfn.POISSON.DIST(AY$1,$B29,FALSE)+(1-$B29/AY$1)*_xlfn.POISSON.DIST(AY$1-1,$B29,TRUE))*EXP(-(AY$1-$B29)*'Staffing Calculator'!$B$5/'Staffing Calculator'!$B$6))</f>
        <v/>
      </c>
      <c r="AZ29" s="56">
        <f>IF(AZ$1&lt;=$B29,0,1-_xlfn.POISSON.DIST(AZ$1,$B29,FALSE)/(_xlfn.POISSON.DIST(AZ$1,$B29,FALSE)+(1-$B29/AZ$1)*_xlfn.POISSON.DIST(AZ$1-1,$B29,TRUE))*EXP(-(AZ$1-$B29)*'Staffing Calculator'!$B$5/'Staffing Calculator'!$B$6))</f>
        <v/>
      </c>
      <c r="BA29" s="56">
        <f>IF(BA$1&lt;=$B29,0,1-_xlfn.POISSON.DIST(BA$1,$B29,FALSE)/(_xlfn.POISSON.DIST(BA$1,$B29,FALSE)+(1-$B29/BA$1)*_xlfn.POISSON.DIST(BA$1-1,$B29,TRUE))*EXP(-(BA$1-$B29)*'Staffing Calculator'!$B$5/'Staffing Calculator'!$B$6))</f>
        <v/>
      </c>
      <c r="BB29" s="56">
        <f>IF(BB$1&lt;=$B29,0,1-_xlfn.POISSON.DIST(BB$1,$B29,FALSE)/(_xlfn.POISSON.DIST(BB$1,$B29,FALSE)+(1-$B29/BB$1)*_xlfn.POISSON.DIST(BB$1-1,$B29,TRUE))*EXP(-(BB$1-$B29)*'Staffing Calculator'!$B$5/'Staffing Calculator'!$B$6))</f>
        <v/>
      </c>
      <c r="BC29" s="56">
        <f>IF(BC$1&lt;=$B29,0,1-_xlfn.POISSON.DIST(BC$1,$B29,FALSE)/(_xlfn.POISSON.DIST(BC$1,$B29,FALSE)+(1-$B29/BC$1)*_xlfn.POISSON.DIST(BC$1-1,$B29,TRUE))*EXP(-(BC$1-$B29)*'Staffing Calculator'!$B$5/'Staffing Calculator'!$B$6))</f>
        <v/>
      </c>
      <c r="BD29" s="56">
        <f>IF(BD$1&lt;=$B29,0,1-_xlfn.POISSON.DIST(BD$1,$B29,FALSE)/(_xlfn.POISSON.DIST(BD$1,$B29,FALSE)+(1-$B29/BD$1)*_xlfn.POISSON.DIST(BD$1-1,$B29,TRUE))*EXP(-(BD$1-$B29)*'Staffing Calculator'!$B$5/'Staffing Calculator'!$B$6))</f>
        <v/>
      </c>
      <c r="BE29" s="56">
        <f>IF(BE$1&lt;=$B29,0,1-_xlfn.POISSON.DIST(BE$1,$B29,FALSE)/(_xlfn.POISSON.DIST(BE$1,$B29,FALSE)+(1-$B29/BE$1)*_xlfn.POISSON.DIST(BE$1-1,$B29,TRUE))*EXP(-(BE$1-$B29)*'Staffing Calculator'!$B$5/'Staffing Calculator'!$B$6))</f>
        <v/>
      </c>
      <c r="BF29" s="56">
        <f>IF(BF$1&lt;=$B29,0,1-_xlfn.POISSON.DIST(BF$1,$B29,FALSE)/(_xlfn.POISSON.DIST(BF$1,$B29,FALSE)+(1-$B29/BF$1)*_xlfn.POISSON.DIST(BF$1-1,$B29,TRUE))*EXP(-(BF$1-$B29)*'Staffing Calculator'!$B$5/'Staffing Calculator'!$B$6))</f>
        <v/>
      </c>
      <c r="BG29" s="56">
        <f>IF(BG$1&lt;=$B29,0,1-_xlfn.POISSON.DIST(BG$1,$B29,FALSE)/(_xlfn.POISSON.DIST(BG$1,$B29,FALSE)+(1-$B29/BG$1)*_xlfn.POISSON.DIST(BG$1-1,$B29,TRUE))*EXP(-(BG$1-$B29)*'Staffing Calculator'!$B$5/'Staffing Calculator'!$B$6))</f>
        <v/>
      </c>
      <c r="BH29" s="56">
        <f>IF(BH$1&lt;=$B29,0,1-_xlfn.POISSON.DIST(BH$1,$B29,FALSE)/(_xlfn.POISSON.DIST(BH$1,$B29,FALSE)+(1-$B29/BH$1)*_xlfn.POISSON.DIST(BH$1-1,$B29,TRUE))*EXP(-(BH$1-$B29)*'Staffing Calculator'!$B$5/'Staffing Calculator'!$B$6))</f>
        <v/>
      </c>
      <c r="BI29" s="56">
        <f>IF(BI$1&lt;=$B29,0,1-_xlfn.POISSON.DIST(BI$1,$B29,FALSE)/(_xlfn.POISSON.DIST(BI$1,$B29,FALSE)+(1-$B29/BI$1)*_xlfn.POISSON.DIST(BI$1-1,$B29,TRUE))*EXP(-(BI$1-$B29)*'Staffing Calculator'!$B$5/'Staffing Calculator'!$B$6))</f>
        <v/>
      </c>
      <c r="BJ29" s="56">
        <f>IF(BJ$1&lt;=$B29,0,1-_xlfn.POISSON.DIST(BJ$1,$B29,FALSE)/(_xlfn.POISSON.DIST(BJ$1,$B29,FALSE)+(1-$B29/BJ$1)*_xlfn.POISSON.DIST(BJ$1-1,$B29,TRUE))*EXP(-(BJ$1-$B29)*'Staffing Calculator'!$B$5/'Staffing Calculator'!$B$6))</f>
        <v/>
      </c>
    </row>
    <row r="30">
      <c r="A30" s="54">
        <f>'Staffing Calculator'!A30</f>
        <v/>
      </c>
      <c r="B30" s="55">
        <f>'Staffing Calculator'!C30</f>
        <v/>
      </c>
      <c r="C30" s="56">
        <f>IF(C$1&lt;=$B30,0,1-_xlfn.POISSON.DIST(C$1,$B30,FALSE)/(_xlfn.POISSON.DIST(C$1,$B30,FALSE)+(1-$B30/C$1)*_xlfn.POISSON.DIST(C$1-1,$B30,TRUE))*EXP(-(C$1-$B30)*'Staffing Calculator'!$B$5/'Staffing Calculator'!$B$6))</f>
        <v/>
      </c>
      <c r="D30" s="56">
        <f>IF(D$1&lt;=$B30,0,1-_xlfn.POISSON.DIST(D$1,$B30,FALSE)/(_xlfn.POISSON.DIST(D$1,$B30,FALSE)+(1-$B30/D$1)*_xlfn.POISSON.DIST(D$1-1,$B30,TRUE))*EXP(-(D$1-$B30)*'Staffing Calculator'!$B$5/'Staffing Calculator'!$B$6))</f>
        <v/>
      </c>
      <c r="E30" s="56">
        <f>IF(E$1&lt;=$B30,0,1-_xlfn.POISSON.DIST(E$1,$B30,FALSE)/(_xlfn.POISSON.DIST(E$1,$B30,FALSE)+(1-$B30/E$1)*_xlfn.POISSON.DIST(E$1-1,$B30,TRUE))*EXP(-(E$1-$B30)*'Staffing Calculator'!$B$5/'Staffing Calculator'!$B$6))</f>
        <v/>
      </c>
      <c r="F30" s="56">
        <f>IF(F$1&lt;=$B30,0,1-_xlfn.POISSON.DIST(F$1,$B30,FALSE)/(_xlfn.POISSON.DIST(F$1,$B30,FALSE)+(1-$B30/F$1)*_xlfn.POISSON.DIST(F$1-1,$B30,TRUE))*EXP(-(F$1-$B30)*'Staffing Calculator'!$B$5/'Staffing Calculator'!$B$6))</f>
        <v/>
      </c>
      <c r="G30" s="56">
        <f>IF(G$1&lt;=$B30,0,1-_xlfn.POISSON.DIST(G$1,$B30,FALSE)/(_xlfn.POISSON.DIST(G$1,$B30,FALSE)+(1-$B30/G$1)*_xlfn.POISSON.DIST(G$1-1,$B30,TRUE))*EXP(-(G$1-$B30)*'Staffing Calculator'!$B$5/'Staffing Calculator'!$B$6))</f>
        <v/>
      </c>
      <c r="H30" s="56">
        <f>IF(H$1&lt;=$B30,0,1-_xlfn.POISSON.DIST(H$1,$B30,FALSE)/(_xlfn.POISSON.DIST(H$1,$B30,FALSE)+(1-$B30/H$1)*_xlfn.POISSON.DIST(H$1-1,$B30,TRUE))*EXP(-(H$1-$B30)*'Staffing Calculator'!$B$5/'Staffing Calculator'!$B$6))</f>
        <v/>
      </c>
      <c r="I30" s="56">
        <f>IF(I$1&lt;=$B30,0,1-_xlfn.POISSON.DIST(I$1,$B30,FALSE)/(_xlfn.POISSON.DIST(I$1,$B30,FALSE)+(1-$B30/I$1)*_xlfn.POISSON.DIST(I$1-1,$B30,TRUE))*EXP(-(I$1-$B30)*'Staffing Calculator'!$B$5/'Staffing Calculator'!$B$6))</f>
        <v/>
      </c>
      <c r="J30" s="56">
        <f>IF(J$1&lt;=$B30,0,1-_xlfn.POISSON.DIST(J$1,$B30,FALSE)/(_xlfn.POISSON.DIST(J$1,$B30,FALSE)+(1-$B30/J$1)*_xlfn.POISSON.DIST(J$1-1,$B30,TRUE))*EXP(-(J$1-$B30)*'Staffing Calculator'!$B$5/'Staffing Calculator'!$B$6))</f>
        <v/>
      </c>
      <c r="K30" s="56">
        <f>IF(K$1&lt;=$B30,0,1-_xlfn.POISSON.DIST(K$1,$B30,FALSE)/(_xlfn.POISSON.DIST(K$1,$B30,FALSE)+(1-$B30/K$1)*_xlfn.POISSON.DIST(K$1-1,$B30,TRUE))*EXP(-(K$1-$B30)*'Staffing Calculator'!$B$5/'Staffing Calculator'!$B$6))</f>
        <v/>
      </c>
      <c r="L30" s="56">
        <f>IF(L$1&lt;=$B30,0,1-_xlfn.POISSON.DIST(L$1,$B30,FALSE)/(_xlfn.POISSON.DIST(L$1,$B30,FALSE)+(1-$B30/L$1)*_xlfn.POISSON.DIST(L$1-1,$B30,TRUE))*EXP(-(L$1-$B30)*'Staffing Calculator'!$B$5/'Staffing Calculator'!$B$6))</f>
        <v/>
      </c>
      <c r="M30" s="56">
        <f>IF(M$1&lt;=$B30,0,1-_xlfn.POISSON.DIST(M$1,$B30,FALSE)/(_xlfn.POISSON.DIST(M$1,$B30,FALSE)+(1-$B30/M$1)*_xlfn.POISSON.DIST(M$1-1,$B30,TRUE))*EXP(-(M$1-$B30)*'Staffing Calculator'!$B$5/'Staffing Calculator'!$B$6))</f>
        <v/>
      </c>
      <c r="N30" s="56">
        <f>IF(N$1&lt;=$B30,0,1-_xlfn.POISSON.DIST(N$1,$B30,FALSE)/(_xlfn.POISSON.DIST(N$1,$B30,FALSE)+(1-$B30/N$1)*_xlfn.POISSON.DIST(N$1-1,$B30,TRUE))*EXP(-(N$1-$B30)*'Staffing Calculator'!$B$5/'Staffing Calculator'!$B$6))</f>
        <v/>
      </c>
      <c r="O30" s="56">
        <f>IF(O$1&lt;=$B30,0,1-_xlfn.POISSON.DIST(O$1,$B30,FALSE)/(_xlfn.POISSON.DIST(O$1,$B30,FALSE)+(1-$B30/O$1)*_xlfn.POISSON.DIST(O$1-1,$B30,TRUE))*EXP(-(O$1-$B30)*'Staffing Calculator'!$B$5/'Staffing Calculator'!$B$6))</f>
        <v/>
      </c>
      <c r="P30" s="56">
        <f>IF(P$1&lt;=$B30,0,1-_xlfn.POISSON.DIST(P$1,$B30,FALSE)/(_xlfn.POISSON.DIST(P$1,$B30,FALSE)+(1-$B30/P$1)*_xlfn.POISSON.DIST(P$1-1,$B30,TRUE))*EXP(-(P$1-$B30)*'Staffing Calculator'!$B$5/'Staffing Calculator'!$B$6))</f>
        <v/>
      </c>
      <c r="Q30" s="56">
        <f>IF(Q$1&lt;=$B30,0,1-_xlfn.POISSON.DIST(Q$1,$B30,FALSE)/(_xlfn.POISSON.DIST(Q$1,$B30,FALSE)+(1-$B30/Q$1)*_xlfn.POISSON.DIST(Q$1-1,$B30,TRUE))*EXP(-(Q$1-$B30)*'Staffing Calculator'!$B$5/'Staffing Calculator'!$B$6))</f>
        <v/>
      </c>
      <c r="R30" s="56">
        <f>IF(R$1&lt;=$B30,0,1-_xlfn.POISSON.DIST(R$1,$B30,FALSE)/(_xlfn.POISSON.DIST(R$1,$B30,FALSE)+(1-$B30/R$1)*_xlfn.POISSON.DIST(R$1-1,$B30,TRUE))*EXP(-(R$1-$B30)*'Staffing Calculator'!$B$5/'Staffing Calculator'!$B$6))</f>
        <v/>
      </c>
      <c r="S30" s="56">
        <f>IF(S$1&lt;=$B30,0,1-_xlfn.POISSON.DIST(S$1,$B30,FALSE)/(_xlfn.POISSON.DIST(S$1,$B30,FALSE)+(1-$B30/S$1)*_xlfn.POISSON.DIST(S$1-1,$B30,TRUE))*EXP(-(S$1-$B30)*'Staffing Calculator'!$B$5/'Staffing Calculator'!$B$6))</f>
        <v/>
      </c>
      <c r="T30" s="56">
        <f>IF(T$1&lt;=$B30,0,1-_xlfn.POISSON.DIST(T$1,$B30,FALSE)/(_xlfn.POISSON.DIST(T$1,$B30,FALSE)+(1-$B30/T$1)*_xlfn.POISSON.DIST(T$1-1,$B30,TRUE))*EXP(-(T$1-$B30)*'Staffing Calculator'!$B$5/'Staffing Calculator'!$B$6))</f>
        <v/>
      </c>
      <c r="U30" s="56">
        <f>IF(U$1&lt;=$B30,0,1-_xlfn.POISSON.DIST(U$1,$B30,FALSE)/(_xlfn.POISSON.DIST(U$1,$B30,FALSE)+(1-$B30/U$1)*_xlfn.POISSON.DIST(U$1-1,$B30,TRUE))*EXP(-(U$1-$B30)*'Staffing Calculator'!$B$5/'Staffing Calculator'!$B$6))</f>
        <v/>
      </c>
      <c r="V30" s="56">
        <f>IF(V$1&lt;=$B30,0,1-_xlfn.POISSON.DIST(V$1,$B30,FALSE)/(_xlfn.POISSON.DIST(V$1,$B30,FALSE)+(1-$B30/V$1)*_xlfn.POISSON.DIST(V$1-1,$B30,TRUE))*EXP(-(V$1-$B30)*'Staffing Calculator'!$B$5/'Staffing Calculator'!$B$6))</f>
        <v/>
      </c>
      <c r="W30" s="56">
        <f>IF(W$1&lt;=$B30,0,1-_xlfn.POISSON.DIST(W$1,$B30,FALSE)/(_xlfn.POISSON.DIST(W$1,$B30,FALSE)+(1-$B30/W$1)*_xlfn.POISSON.DIST(W$1-1,$B30,TRUE))*EXP(-(W$1-$B30)*'Staffing Calculator'!$B$5/'Staffing Calculator'!$B$6))</f>
        <v/>
      </c>
      <c r="X30" s="56">
        <f>IF(X$1&lt;=$B30,0,1-_xlfn.POISSON.DIST(X$1,$B30,FALSE)/(_xlfn.POISSON.DIST(X$1,$B30,FALSE)+(1-$B30/X$1)*_xlfn.POISSON.DIST(X$1-1,$B30,TRUE))*EXP(-(X$1-$B30)*'Staffing Calculator'!$B$5/'Staffing Calculator'!$B$6))</f>
        <v/>
      </c>
      <c r="Y30" s="56">
        <f>IF(Y$1&lt;=$B30,0,1-_xlfn.POISSON.DIST(Y$1,$B30,FALSE)/(_xlfn.POISSON.DIST(Y$1,$B30,FALSE)+(1-$B30/Y$1)*_xlfn.POISSON.DIST(Y$1-1,$B30,TRUE))*EXP(-(Y$1-$B30)*'Staffing Calculator'!$B$5/'Staffing Calculator'!$B$6))</f>
        <v/>
      </c>
      <c r="Z30" s="56">
        <f>IF(Z$1&lt;=$B30,0,1-_xlfn.POISSON.DIST(Z$1,$B30,FALSE)/(_xlfn.POISSON.DIST(Z$1,$B30,FALSE)+(1-$B30/Z$1)*_xlfn.POISSON.DIST(Z$1-1,$B30,TRUE))*EXP(-(Z$1-$B30)*'Staffing Calculator'!$B$5/'Staffing Calculator'!$B$6))</f>
        <v/>
      </c>
      <c r="AA30" s="56">
        <f>IF(AA$1&lt;=$B30,0,1-_xlfn.POISSON.DIST(AA$1,$B30,FALSE)/(_xlfn.POISSON.DIST(AA$1,$B30,FALSE)+(1-$B30/AA$1)*_xlfn.POISSON.DIST(AA$1-1,$B30,TRUE))*EXP(-(AA$1-$B30)*'Staffing Calculator'!$B$5/'Staffing Calculator'!$B$6))</f>
        <v/>
      </c>
      <c r="AB30" s="56">
        <f>IF(AB$1&lt;=$B30,0,1-_xlfn.POISSON.DIST(AB$1,$B30,FALSE)/(_xlfn.POISSON.DIST(AB$1,$B30,FALSE)+(1-$B30/AB$1)*_xlfn.POISSON.DIST(AB$1-1,$B30,TRUE))*EXP(-(AB$1-$B30)*'Staffing Calculator'!$B$5/'Staffing Calculator'!$B$6))</f>
        <v/>
      </c>
      <c r="AC30" s="56">
        <f>IF(AC$1&lt;=$B30,0,1-_xlfn.POISSON.DIST(AC$1,$B30,FALSE)/(_xlfn.POISSON.DIST(AC$1,$B30,FALSE)+(1-$B30/AC$1)*_xlfn.POISSON.DIST(AC$1-1,$B30,TRUE))*EXP(-(AC$1-$B30)*'Staffing Calculator'!$B$5/'Staffing Calculator'!$B$6))</f>
        <v/>
      </c>
      <c r="AD30" s="56">
        <f>IF(AD$1&lt;=$B30,0,1-_xlfn.POISSON.DIST(AD$1,$B30,FALSE)/(_xlfn.POISSON.DIST(AD$1,$B30,FALSE)+(1-$B30/AD$1)*_xlfn.POISSON.DIST(AD$1-1,$B30,TRUE))*EXP(-(AD$1-$B30)*'Staffing Calculator'!$B$5/'Staffing Calculator'!$B$6))</f>
        <v/>
      </c>
      <c r="AE30" s="56">
        <f>IF(AE$1&lt;=$B30,0,1-_xlfn.POISSON.DIST(AE$1,$B30,FALSE)/(_xlfn.POISSON.DIST(AE$1,$B30,FALSE)+(1-$B30/AE$1)*_xlfn.POISSON.DIST(AE$1-1,$B30,TRUE))*EXP(-(AE$1-$B30)*'Staffing Calculator'!$B$5/'Staffing Calculator'!$B$6))</f>
        <v/>
      </c>
      <c r="AF30" s="56">
        <f>IF(AF$1&lt;=$B30,0,1-_xlfn.POISSON.DIST(AF$1,$B30,FALSE)/(_xlfn.POISSON.DIST(AF$1,$B30,FALSE)+(1-$B30/AF$1)*_xlfn.POISSON.DIST(AF$1-1,$B30,TRUE))*EXP(-(AF$1-$B30)*'Staffing Calculator'!$B$5/'Staffing Calculator'!$B$6))</f>
        <v/>
      </c>
      <c r="AG30" s="56">
        <f>IF(AG$1&lt;=$B30,0,1-_xlfn.POISSON.DIST(AG$1,$B30,FALSE)/(_xlfn.POISSON.DIST(AG$1,$B30,FALSE)+(1-$B30/AG$1)*_xlfn.POISSON.DIST(AG$1-1,$B30,TRUE))*EXP(-(AG$1-$B30)*'Staffing Calculator'!$B$5/'Staffing Calculator'!$B$6))</f>
        <v/>
      </c>
      <c r="AH30" s="56">
        <f>IF(AH$1&lt;=$B30,0,1-_xlfn.POISSON.DIST(AH$1,$B30,FALSE)/(_xlfn.POISSON.DIST(AH$1,$B30,FALSE)+(1-$B30/AH$1)*_xlfn.POISSON.DIST(AH$1-1,$B30,TRUE))*EXP(-(AH$1-$B30)*'Staffing Calculator'!$B$5/'Staffing Calculator'!$B$6))</f>
        <v/>
      </c>
      <c r="AI30" s="56">
        <f>IF(AI$1&lt;=$B30,0,1-_xlfn.POISSON.DIST(AI$1,$B30,FALSE)/(_xlfn.POISSON.DIST(AI$1,$B30,FALSE)+(1-$B30/AI$1)*_xlfn.POISSON.DIST(AI$1-1,$B30,TRUE))*EXP(-(AI$1-$B30)*'Staffing Calculator'!$B$5/'Staffing Calculator'!$B$6))</f>
        <v/>
      </c>
      <c r="AJ30" s="56">
        <f>IF(AJ$1&lt;=$B30,0,1-_xlfn.POISSON.DIST(AJ$1,$B30,FALSE)/(_xlfn.POISSON.DIST(AJ$1,$B30,FALSE)+(1-$B30/AJ$1)*_xlfn.POISSON.DIST(AJ$1-1,$B30,TRUE))*EXP(-(AJ$1-$B30)*'Staffing Calculator'!$B$5/'Staffing Calculator'!$B$6))</f>
        <v/>
      </c>
      <c r="AK30" s="56">
        <f>IF(AK$1&lt;=$B30,0,1-_xlfn.POISSON.DIST(AK$1,$B30,FALSE)/(_xlfn.POISSON.DIST(AK$1,$B30,FALSE)+(1-$B30/AK$1)*_xlfn.POISSON.DIST(AK$1-1,$B30,TRUE))*EXP(-(AK$1-$B30)*'Staffing Calculator'!$B$5/'Staffing Calculator'!$B$6))</f>
        <v/>
      </c>
      <c r="AL30" s="56">
        <f>IF(AL$1&lt;=$B30,0,1-_xlfn.POISSON.DIST(AL$1,$B30,FALSE)/(_xlfn.POISSON.DIST(AL$1,$B30,FALSE)+(1-$B30/AL$1)*_xlfn.POISSON.DIST(AL$1-1,$B30,TRUE))*EXP(-(AL$1-$B30)*'Staffing Calculator'!$B$5/'Staffing Calculator'!$B$6))</f>
        <v/>
      </c>
      <c r="AM30" s="56">
        <f>IF(AM$1&lt;=$B30,0,1-_xlfn.POISSON.DIST(AM$1,$B30,FALSE)/(_xlfn.POISSON.DIST(AM$1,$B30,FALSE)+(1-$B30/AM$1)*_xlfn.POISSON.DIST(AM$1-1,$B30,TRUE))*EXP(-(AM$1-$B30)*'Staffing Calculator'!$B$5/'Staffing Calculator'!$B$6))</f>
        <v/>
      </c>
      <c r="AN30" s="56">
        <f>IF(AN$1&lt;=$B30,0,1-_xlfn.POISSON.DIST(AN$1,$B30,FALSE)/(_xlfn.POISSON.DIST(AN$1,$B30,FALSE)+(1-$B30/AN$1)*_xlfn.POISSON.DIST(AN$1-1,$B30,TRUE))*EXP(-(AN$1-$B30)*'Staffing Calculator'!$B$5/'Staffing Calculator'!$B$6))</f>
        <v/>
      </c>
      <c r="AO30" s="56">
        <f>IF(AO$1&lt;=$B30,0,1-_xlfn.POISSON.DIST(AO$1,$B30,FALSE)/(_xlfn.POISSON.DIST(AO$1,$B30,FALSE)+(1-$B30/AO$1)*_xlfn.POISSON.DIST(AO$1-1,$B30,TRUE))*EXP(-(AO$1-$B30)*'Staffing Calculator'!$B$5/'Staffing Calculator'!$B$6))</f>
        <v/>
      </c>
      <c r="AP30" s="56">
        <f>IF(AP$1&lt;=$B30,0,1-_xlfn.POISSON.DIST(AP$1,$B30,FALSE)/(_xlfn.POISSON.DIST(AP$1,$B30,FALSE)+(1-$B30/AP$1)*_xlfn.POISSON.DIST(AP$1-1,$B30,TRUE))*EXP(-(AP$1-$B30)*'Staffing Calculator'!$B$5/'Staffing Calculator'!$B$6))</f>
        <v/>
      </c>
      <c r="AQ30" s="56">
        <f>IF(AQ$1&lt;=$B30,0,1-_xlfn.POISSON.DIST(AQ$1,$B30,FALSE)/(_xlfn.POISSON.DIST(AQ$1,$B30,FALSE)+(1-$B30/AQ$1)*_xlfn.POISSON.DIST(AQ$1-1,$B30,TRUE))*EXP(-(AQ$1-$B30)*'Staffing Calculator'!$B$5/'Staffing Calculator'!$B$6))</f>
        <v/>
      </c>
      <c r="AR30" s="56">
        <f>IF(AR$1&lt;=$B30,0,1-_xlfn.POISSON.DIST(AR$1,$B30,FALSE)/(_xlfn.POISSON.DIST(AR$1,$B30,FALSE)+(1-$B30/AR$1)*_xlfn.POISSON.DIST(AR$1-1,$B30,TRUE))*EXP(-(AR$1-$B30)*'Staffing Calculator'!$B$5/'Staffing Calculator'!$B$6))</f>
        <v/>
      </c>
      <c r="AS30" s="56">
        <f>IF(AS$1&lt;=$B30,0,1-_xlfn.POISSON.DIST(AS$1,$B30,FALSE)/(_xlfn.POISSON.DIST(AS$1,$B30,FALSE)+(1-$B30/AS$1)*_xlfn.POISSON.DIST(AS$1-1,$B30,TRUE))*EXP(-(AS$1-$B30)*'Staffing Calculator'!$B$5/'Staffing Calculator'!$B$6))</f>
        <v/>
      </c>
      <c r="AT30" s="56">
        <f>IF(AT$1&lt;=$B30,0,1-_xlfn.POISSON.DIST(AT$1,$B30,FALSE)/(_xlfn.POISSON.DIST(AT$1,$B30,FALSE)+(1-$B30/AT$1)*_xlfn.POISSON.DIST(AT$1-1,$B30,TRUE))*EXP(-(AT$1-$B30)*'Staffing Calculator'!$B$5/'Staffing Calculator'!$B$6))</f>
        <v/>
      </c>
      <c r="AU30" s="56">
        <f>IF(AU$1&lt;=$B30,0,1-_xlfn.POISSON.DIST(AU$1,$B30,FALSE)/(_xlfn.POISSON.DIST(AU$1,$B30,FALSE)+(1-$B30/AU$1)*_xlfn.POISSON.DIST(AU$1-1,$B30,TRUE))*EXP(-(AU$1-$B30)*'Staffing Calculator'!$B$5/'Staffing Calculator'!$B$6))</f>
        <v/>
      </c>
      <c r="AV30" s="56">
        <f>IF(AV$1&lt;=$B30,0,1-_xlfn.POISSON.DIST(AV$1,$B30,FALSE)/(_xlfn.POISSON.DIST(AV$1,$B30,FALSE)+(1-$B30/AV$1)*_xlfn.POISSON.DIST(AV$1-1,$B30,TRUE))*EXP(-(AV$1-$B30)*'Staffing Calculator'!$B$5/'Staffing Calculator'!$B$6))</f>
        <v/>
      </c>
      <c r="AW30" s="56">
        <f>IF(AW$1&lt;=$B30,0,1-_xlfn.POISSON.DIST(AW$1,$B30,FALSE)/(_xlfn.POISSON.DIST(AW$1,$B30,FALSE)+(1-$B30/AW$1)*_xlfn.POISSON.DIST(AW$1-1,$B30,TRUE))*EXP(-(AW$1-$B30)*'Staffing Calculator'!$B$5/'Staffing Calculator'!$B$6))</f>
        <v/>
      </c>
      <c r="AX30" s="56">
        <f>IF(AX$1&lt;=$B30,0,1-_xlfn.POISSON.DIST(AX$1,$B30,FALSE)/(_xlfn.POISSON.DIST(AX$1,$B30,FALSE)+(1-$B30/AX$1)*_xlfn.POISSON.DIST(AX$1-1,$B30,TRUE))*EXP(-(AX$1-$B30)*'Staffing Calculator'!$B$5/'Staffing Calculator'!$B$6))</f>
        <v/>
      </c>
      <c r="AY30" s="56">
        <f>IF(AY$1&lt;=$B30,0,1-_xlfn.POISSON.DIST(AY$1,$B30,FALSE)/(_xlfn.POISSON.DIST(AY$1,$B30,FALSE)+(1-$B30/AY$1)*_xlfn.POISSON.DIST(AY$1-1,$B30,TRUE))*EXP(-(AY$1-$B30)*'Staffing Calculator'!$B$5/'Staffing Calculator'!$B$6))</f>
        <v/>
      </c>
      <c r="AZ30" s="56">
        <f>IF(AZ$1&lt;=$B30,0,1-_xlfn.POISSON.DIST(AZ$1,$B30,FALSE)/(_xlfn.POISSON.DIST(AZ$1,$B30,FALSE)+(1-$B30/AZ$1)*_xlfn.POISSON.DIST(AZ$1-1,$B30,TRUE))*EXP(-(AZ$1-$B30)*'Staffing Calculator'!$B$5/'Staffing Calculator'!$B$6))</f>
        <v/>
      </c>
      <c r="BA30" s="56">
        <f>IF(BA$1&lt;=$B30,0,1-_xlfn.POISSON.DIST(BA$1,$B30,FALSE)/(_xlfn.POISSON.DIST(BA$1,$B30,FALSE)+(1-$B30/BA$1)*_xlfn.POISSON.DIST(BA$1-1,$B30,TRUE))*EXP(-(BA$1-$B30)*'Staffing Calculator'!$B$5/'Staffing Calculator'!$B$6))</f>
        <v/>
      </c>
      <c r="BB30" s="56">
        <f>IF(BB$1&lt;=$B30,0,1-_xlfn.POISSON.DIST(BB$1,$B30,FALSE)/(_xlfn.POISSON.DIST(BB$1,$B30,FALSE)+(1-$B30/BB$1)*_xlfn.POISSON.DIST(BB$1-1,$B30,TRUE))*EXP(-(BB$1-$B30)*'Staffing Calculator'!$B$5/'Staffing Calculator'!$B$6))</f>
        <v/>
      </c>
      <c r="BC30" s="56">
        <f>IF(BC$1&lt;=$B30,0,1-_xlfn.POISSON.DIST(BC$1,$B30,FALSE)/(_xlfn.POISSON.DIST(BC$1,$B30,FALSE)+(1-$B30/BC$1)*_xlfn.POISSON.DIST(BC$1-1,$B30,TRUE))*EXP(-(BC$1-$B30)*'Staffing Calculator'!$B$5/'Staffing Calculator'!$B$6))</f>
        <v/>
      </c>
      <c r="BD30" s="56">
        <f>IF(BD$1&lt;=$B30,0,1-_xlfn.POISSON.DIST(BD$1,$B30,FALSE)/(_xlfn.POISSON.DIST(BD$1,$B30,FALSE)+(1-$B30/BD$1)*_xlfn.POISSON.DIST(BD$1-1,$B30,TRUE))*EXP(-(BD$1-$B30)*'Staffing Calculator'!$B$5/'Staffing Calculator'!$B$6))</f>
        <v/>
      </c>
      <c r="BE30" s="56">
        <f>IF(BE$1&lt;=$B30,0,1-_xlfn.POISSON.DIST(BE$1,$B30,FALSE)/(_xlfn.POISSON.DIST(BE$1,$B30,FALSE)+(1-$B30/BE$1)*_xlfn.POISSON.DIST(BE$1-1,$B30,TRUE))*EXP(-(BE$1-$B30)*'Staffing Calculator'!$B$5/'Staffing Calculator'!$B$6))</f>
        <v/>
      </c>
      <c r="BF30" s="56">
        <f>IF(BF$1&lt;=$B30,0,1-_xlfn.POISSON.DIST(BF$1,$B30,FALSE)/(_xlfn.POISSON.DIST(BF$1,$B30,FALSE)+(1-$B30/BF$1)*_xlfn.POISSON.DIST(BF$1-1,$B30,TRUE))*EXP(-(BF$1-$B30)*'Staffing Calculator'!$B$5/'Staffing Calculator'!$B$6))</f>
        <v/>
      </c>
      <c r="BG30" s="56">
        <f>IF(BG$1&lt;=$B30,0,1-_xlfn.POISSON.DIST(BG$1,$B30,FALSE)/(_xlfn.POISSON.DIST(BG$1,$B30,FALSE)+(1-$B30/BG$1)*_xlfn.POISSON.DIST(BG$1-1,$B30,TRUE))*EXP(-(BG$1-$B30)*'Staffing Calculator'!$B$5/'Staffing Calculator'!$B$6))</f>
        <v/>
      </c>
      <c r="BH30" s="56">
        <f>IF(BH$1&lt;=$B30,0,1-_xlfn.POISSON.DIST(BH$1,$B30,FALSE)/(_xlfn.POISSON.DIST(BH$1,$B30,FALSE)+(1-$B30/BH$1)*_xlfn.POISSON.DIST(BH$1-1,$B30,TRUE))*EXP(-(BH$1-$B30)*'Staffing Calculator'!$B$5/'Staffing Calculator'!$B$6))</f>
        <v/>
      </c>
      <c r="BI30" s="56">
        <f>IF(BI$1&lt;=$B30,0,1-_xlfn.POISSON.DIST(BI$1,$B30,FALSE)/(_xlfn.POISSON.DIST(BI$1,$B30,FALSE)+(1-$B30/BI$1)*_xlfn.POISSON.DIST(BI$1-1,$B30,TRUE))*EXP(-(BI$1-$B30)*'Staffing Calculator'!$B$5/'Staffing Calculator'!$B$6))</f>
        <v/>
      </c>
      <c r="BJ30" s="56">
        <f>IF(BJ$1&lt;=$B30,0,1-_xlfn.POISSON.DIST(BJ$1,$B30,FALSE)/(_xlfn.POISSON.DIST(BJ$1,$B30,FALSE)+(1-$B30/BJ$1)*_xlfn.POISSON.DIST(BJ$1-1,$B30,TRUE))*EXP(-(BJ$1-$B30)*'Staffing Calculator'!$B$5/'Staffing Calculator'!$B$6))</f>
        <v/>
      </c>
    </row>
    <row r="31">
      <c r="A31" s="54">
        <f>'Staffing Calculator'!A31</f>
        <v/>
      </c>
      <c r="B31" s="55">
        <f>'Staffing Calculator'!C31</f>
        <v/>
      </c>
      <c r="C31" s="56">
        <f>IF(C$1&lt;=$B31,0,1-_xlfn.POISSON.DIST(C$1,$B31,FALSE)/(_xlfn.POISSON.DIST(C$1,$B31,FALSE)+(1-$B31/C$1)*_xlfn.POISSON.DIST(C$1-1,$B31,TRUE))*EXP(-(C$1-$B31)*'Staffing Calculator'!$B$5/'Staffing Calculator'!$B$6))</f>
        <v/>
      </c>
      <c r="D31" s="56">
        <f>IF(D$1&lt;=$B31,0,1-_xlfn.POISSON.DIST(D$1,$B31,FALSE)/(_xlfn.POISSON.DIST(D$1,$B31,FALSE)+(1-$B31/D$1)*_xlfn.POISSON.DIST(D$1-1,$B31,TRUE))*EXP(-(D$1-$B31)*'Staffing Calculator'!$B$5/'Staffing Calculator'!$B$6))</f>
        <v/>
      </c>
      <c r="E31" s="56">
        <f>IF(E$1&lt;=$B31,0,1-_xlfn.POISSON.DIST(E$1,$B31,FALSE)/(_xlfn.POISSON.DIST(E$1,$B31,FALSE)+(1-$B31/E$1)*_xlfn.POISSON.DIST(E$1-1,$B31,TRUE))*EXP(-(E$1-$B31)*'Staffing Calculator'!$B$5/'Staffing Calculator'!$B$6))</f>
        <v/>
      </c>
      <c r="F31" s="56">
        <f>IF(F$1&lt;=$B31,0,1-_xlfn.POISSON.DIST(F$1,$B31,FALSE)/(_xlfn.POISSON.DIST(F$1,$B31,FALSE)+(1-$B31/F$1)*_xlfn.POISSON.DIST(F$1-1,$B31,TRUE))*EXP(-(F$1-$B31)*'Staffing Calculator'!$B$5/'Staffing Calculator'!$B$6))</f>
        <v/>
      </c>
      <c r="G31" s="56">
        <f>IF(G$1&lt;=$B31,0,1-_xlfn.POISSON.DIST(G$1,$B31,FALSE)/(_xlfn.POISSON.DIST(G$1,$B31,FALSE)+(1-$B31/G$1)*_xlfn.POISSON.DIST(G$1-1,$B31,TRUE))*EXP(-(G$1-$B31)*'Staffing Calculator'!$B$5/'Staffing Calculator'!$B$6))</f>
        <v/>
      </c>
      <c r="H31" s="56">
        <f>IF(H$1&lt;=$B31,0,1-_xlfn.POISSON.DIST(H$1,$B31,FALSE)/(_xlfn.POISSON.DIST(H$1,$B31,FALSE)+(1-$B31/H$1)*_xlfn.POISSON.DIST(H$1-1,$B31,TRUE))*EXP(-(H$1-$B31)*'Staffing Calculator'!$B$5/'Staffing Calculator'!$B$6))</f>
        <v/>
      </c>
      <c r="I31" s="56">
        <f>IF(I$1&lt;=$B31,0,1-_xlfn.POISSON.DIST(I$1,$B31,FALSE)/(_xlfn.POISSON.DIST(I$1,$B31,FALSE)+(1-$B31/I$1)*_xlfn.POISSON.DIST(I$1-1,$B31,TRUE))*EXP(-(I$1-$B31)*'Staffing Calculator'!$B$5/'Staffing Calculator'!$B$6))</f>
        <v/>
      </c>
      <c r="J31" s="56">
        <f>IF(J$1&lt;=$B31,0,1-_xlfn.POISSON.DIST(J$1,$B31,FALSE)/(_xlfn.POISSON.DIST(J$1,$B31,FALSE)+(1-$B31/J$1)*_xlfn.POISSON.DIST(J$1-1,$B31,TRUE))*EXP(-(J$1-$B31)*'Staffing Calculator'!$B$5/'Staffing Calculator'!$B$6))</f>
        <v/>
      </c>
      <c r="K31" s="56">
        <f>IF(K$1&lt;=$B31,0,1-_xlfn.POISSON.DIST(K$1,$B31,FALSE)/(_xlfn.POISSON.DIST(K$1,$B31,FALSE)+(1-$B31/K$1)*_xlfn.POISSON.DIST(K$1-1,$B31,TRUE))*EXP(-(K$1-$B31)*'Staffing Calculator'!$B$5/'Staffing Calculator'!$B$6))</f>
        <v/>
      </c>
      <c r="L31" s="56">
        <f>IF(L$1&lt;=$B31,0,1-_xlfn.POISSON.DIST(L$1,$B31,FALSE)/(_xlfn.POISSON.DIST(L$1,$B31,FALSE)+(1-$B31/L$1)*_xlfn.POISSON.DIST(L$1-1,$B31,TRUE))*EXP(-(L$1-$B31)*'Staffing Calculator'!$B$5/'Staffing Calculator'!$B$6))</f>
        <v/>
      </c>
      <c r="M31" s="56">
        <f>IF(M$1&lt;=$B31,0,1-_xlfn.POISSON.DIST(M$1,$B31,FALSE)/(_xlfn.POISSON.DIST(M$1,$B31,FALSE)+(1-$B31/M$1)*_xlfn.POISSON.DIST(M$1-1,$B31,TRUE))*EXP(-(M$1-$B31)*'Staffing Calculator'!$B$5/'Staffing Calculator'!$B$6))</f>
        <v/>
      </c>
      <c r="N31" s="56">
        <f>IF(N$1&lt;=$B31,0,1-_xlfn.POISSON.DIST(N$1,$B31,FALSE)/(_xlfn.POISSON.DIST(N$1,$B31,FALSE)+(1-$B31/N$1)*_xlfn.POISSON.DIST(N$1-1,$B31,TRUE))*EXP(-(N$1-$B31)*'Staffing Calculator'!$B$5/'Staffing Calculator'!$B$6))</f>
        <v/>
      </c>
      <c r="O31" s="56">
        <f>IF(O$1&lt;=$B31,0,1-_xlfn.POISSON.DIST(O$1,$B31,FALSE)/(_xlfn.POISSON.DIST(O$1,$B31,FALSE)+(1-$B31/O$1)*_xlfn.POISSON.DIST(O$1-1,$B31,TRUE))*EXP(-(O$1-$B31)*'Staffing Calculator'!$B$5/'Staffing Calculator'!$B$6))</f>
        <v/>
      </c>
      <c r="P31" s="56">
        <f>IF(P$1&lt;=$B31,0,1-_xlfn.POISSON.DIST(P$1,$B31,FALSE)/(_xlfn.POISSON.DIST(P$1,$B31,FALSE)+(1-$B31/P$1)*_xlfn.POISSON.DIST(P$1-1,$B31,TRUE))*EXP(-(P$1-$B31)*'Staffing Calculator'!$B$5/'Staffing Calculator'!$B$6))</f>
        <v/>
      </c>
      <c r="Q31" s="56">
        <f>IF(Q$1&lt;=$B31,0,1-_xlfn.POISSON.DIST(Q$1,$B31,FALSE)/(_xlfn.POISSON.DIST(Q$1,$B31,FALSE)+(1-$B31/Q$1)*_xlfn.POISSON.DIST(Q$1-1,$B31,TRUE))*EXP(-(Q$1-$B31)*'Staffing Calculator'!$B$5/'Staffing Calculator'!$B$6))</f>
        <v/>
      </c>
      <c r="R31" s="56">
        <f>IF(R$1&lt;=$B31,0,1-_xlfn.POISSON.DIST(R$1,$B31,FALSE)/(_xlfn.POISSON.DIST(R$1,$B31,FALSE)+(1-$B31/R$1)*_xlfn.POISSON.DIST(R$1-1,$B31,TRUE))*EXP(-(R$1-$B31)*'Staffing Calculator'!$B$5/'Staffing Calculator'!$B$6))</f>
        <v/>
      </c>
      <c r="S31" s="56">
        <f>IF(S$1&lt;=$B31,0,1-_xlfn.POISSON.DIST(S$1,$B31,FALSE)/(_xlfn.POISSON.DIST(S$1,$B31,FALSE)+(1-$B31/S$1)*_xlfn.POISSON.DIST(S$1-1,$B31,TRUE))*EXP(-(S$1-$B31)*'Staffing Calculator'!$B$5/'Staffing Calculator'!$B$6))</f>
        <v/>
      </c>
      <c r="T31" s="56">
        <f>IF(T$1&lt;=$B31,0,1-_xlfn.POISSON.DIST(T$1,$B31,FALSE)/(_xlfn.POISSON.DIST(T$1,$B31,FALSE)+(1-$B31/T$1)*_xlfn.POISSON.DIST(T$1-1,$B31,TRUE))*EXP(-(T$1-$B31)*'Staffing Calculator'!$B$5/'Staffing Calculator'!$B$6))</f>
        <v/>
      </c>
      <c r="U31" s="56">
        <f>IF(U$1&lt;=$B31,0,1-_xlfn.POISSON.DIST(U$1,$B31,FALSE)/(_xlfn.POISSON.DIST(U$1,$B31,FALSE)+(1-$B31/U$1)*_xlfn.POISSON.DIST(U$1-1,$B31,TRUE))*EXP(-(U$1-$B31)*'Staffing Calculator'!$B$5/'Staffing Calculator'!$B$6))</f>
        <v/>
      </c>
      <c r="V31" s="56">
        <f>IF(V$1&lt;=$B31,0,1-_xlfn.POISSON.DIST(V$1,$B31,FALSE)/(_xlfn.POISSON.DIST(V$1,$B31,FALSE)+(1-$B31/V$1)*_xlfn.POISSON.DIST(V$1-1,$B31,TRUE))*EXP(-(V$1-$B31)*'Staffing Calculator'!$B$5/'Staffing Calculator'!$B$6))</f>
        <v/>
      </c>
      <c r="W31" s="56">
        <f>IF(W$1&lt;=$B31,0,1-_xlfn.POISSON.DIST(W$1,$B31,FALSE)/(_xlfn.POISSON.DIST(W$1,$B31,FALSE)+(1-$B31/W$1)*_xlfn.POISSON.DIST(W$1-1,$B31,TRUE))*EXP(-(W$1-$B31)*'Staffing Calculator'!$B$5/'Staffing Calculator'!$B$6))</f>
        <v/>
      </c>
      <c r="X31" s="56">
        <f>IF(X$1&lt;=$B31,0,1-_xlfn.POISSON.DIST(X$1,$B31,FALSE)/(_xlfn.POISSON.DIST(X$1,$B31,FALSE)+(1-$B31/X$1)*_xlfn.POISSON.DIST(X$1-1,$B31,TRUE))*EXP(-(X$1-$B31)*'Staffing Calculator'!$B$5/'Staffing Calculator'!$B$6))</f>
        <v/>
      </c>
      <c r="Y31" s="56">
        <f>IF(Y$1&lt;=$B31,0,1-_xlfn.POISSON.DIST(Y$1,$B31,FALSE)/(_xlfn.POISSON.DIST(Y$1,$B31,FALSE)+(1-$B31/Y$1)*_xlfn.POISSON.DIST(Y$1-1,$B31,TRUE))*EXP(-(Y$1-$B31)*'Staffing Calculator'!$B$5/'Staffing Calculator'!$B$6))</f>
        <v/>
      </c>
      <c r="Z31" s="56">
        <f>IF(Z$1&lt;=$B31,0,1-_xlfn.POISSON.DIST(Z$1,$B31,FALSE)/(_xlfn.POISSON.DIST(Z$1,$B31,FALSE)+(1-$B31/Z$1)*_xlfn.POISSON.DIST(Z$1-1,$B31,TRUE))*EXP(-(Z$1-$B31)*'Staffing Calculator'!$B$5/'Staffing Calculator'!$B$6))</f>
        <v/>
      </c>
      <c r="AA31" s="56">
        <f>IF(AA$1&lt;=$B31,0,1-_xlfn.POISSON.DIST(AA$1,$B31,FALSE)/(_xlfn.POISSON.DIST(AA$1,$B31,FALSE)+(1-$B31/AA$1)*_xlfn.POISSON.DIST(AA$1-1,$B31,TRUE))*EXP(-(AA$1-$B31)*'Staffing Calculator'!$B$5/'Staffing Calculator'!$B$6))</f>
        <v/>
      </c>
      <c r="AB31" s="56">
        <f>IF(AB$1&lt;=$B31,0,1-_xlfn.POISSON.DIST(AB$1,$B31,FALSE)/(_xlfn.POISSON.DIST(AB$1,$B31,FALSE)+(1-$B31/AB$1)*_xlfn.POISSON.DIST(AB$1-1,$B31,TRUE))*EXP(-(AB$1-$B31)*'Staffing Calculator'!$B$5/'Staffing Calculator'!$B$6))</f>
        <v/>
      </c>
      <c r="AC31" s="56">
        <f>IF(AC$1&lt;=$B31,0,1-_xlfn.POISSON.DIST(AC$1,$B31,FALSE)/(_xlfn.POISSON.DIST(AC$1,$B31,FALSE)+(1-$B31/AC$1)*_xlfn.POISSON.DIST(AC$1-1,$B31,TRUE))*EXP(-(AC$1-$B31)*'Staffing Calculator'!$B$5/'Staffing Calculator'!$B$6))</f>
        <v/>
      </c>
      <c r="AD31" s="56">
        <f>IF(AD$1&lt;=$B31,0,1-_xlfn.POISSON.DIST(AD$1,$B31,FALSE)/(_xlfn.POISSON.DIST(AD$1,$B31,FALSE)+(1-$B31/AD$1)*_xlfn.POISSON.DIST(AD$1-1,$B31,TRUE))*EXP(-(AD$1-$B31)*'Staffing Calculator'!$B$5/'Staffing Calculator'!$B$6))</f>
        <v/>
      </c>
      <c r="AE31" s="56">
        <f>IF(AE$1&lt;=$B31,0,1-_xlfn.POISSON.DIST(AE$1,$B31,FALSE)/(_xlfn.POISSON.DIST(AE$1,$B31,FALSE)+(1-$B31/AE$1)*_xlfn.POISSON.DIST(AE$1-1,$B31,TRUE))*EXP(-(AE$1-$B31)*'Staffing Calculator'!$B$5/'Staffing Calculator'!$B$6))</f>
        <v/>
      </c>
      <c r="AF31" s="56">
        <f>IF(AF$1&lt;=$B31,0,1-_xlfn.POISSON.DIST(AF$1,$B31,FALSE)/(_xlfn.POISSON.DIST(AF$1,$B31,FALSE)+(1-$B31/AF$1)*_xlfn.POISSON.DIST(AF$1-1,$B31,TRUE))*EXP(-(AF$1-$B31)*'Staffing Calculator'!$B$5/'Staffing Calculator'!$B$6))</f>
        <v/>
      </c>
      <c r="AG31" s="56">
        <f>IF(AG$1&lt;=$B31,0,1-_xlfn.POISSON.DIST(AG$1,$B31,FALSE)/(_xlfn.POISSON.DIST(AG$1,$B31,FALSE)+(1-$B31/AG$1)*_xlfn.POISSON.DIST(AG$1-1,$B31,TRUE))*EXP(-(AG$1-$B31)*'Staffing Calculator'!$B$5/'Staffing Calculator'!$B$6))</f>
        <v/>
      </c>
      <c r="AH31" s="56">
        <f>IF(AH$1&lt;=$B31,0,1-_xlfn.POISSON.DIST(AH$1,$B31,FALSE)/(_xlfn.POISSON.DIST(AH$1,$B31,FALSE)+(1-$B31/AH$1)*_xlfn.POISSON.DIST(AH$1-1,$B31,TRUE))*EXP(-(AH$1-$B31)*'Staffing Calculator'!$B$5/'Staffing Calculator'!$B$6))</f>
        <v/>
      </c>
      <c r="AI31" s="56">
        <f>IF(AI$1&lt;=$B31,0,1-_xlfn.POISSON.DIST(AI$1,$B31,FALSE)/(_xlfn.POISSON.DIST(AI$1,$B31,FALSE)+(1-$B31/AI$1)*_xlfn.POISSON.DIST(AI$1-1,$B31,TRUE))*EXP(-(AI$1-$B31)*'Staffing Calculator'!$B$5/'Staffing Calculator'!$B$6))</f>
        <v/>
      </c>
      <c r="AJ31" s="56">
        <f>IF(AJ$1&lt;=$B31,0,1-_xlfn.POISSON.DIST(AJ$1,$B31,FALSE)/(_xlfn.POISSON.DIST(AJ$1,$B31,FALSE)+(1-$B31/AJ$1)*_xlfn.POISSON.DIST(AJ$1-1,$B31,TRUE))*EXP(-(AJ$1-$B31)*'Staffing Calculator'!$B$5/'Staffing Calculator'!$B$6))</f>
        <v/>
      </c>
      <c r="AK31" s="56">
        <f>IF(AK$1&lt;=$B31,0,1-_xlfn.POISSON.DIST(AK$1,$B31,FALSE)/(_xlfn.POISSON.DIST(AK$1,$B31,FALSE)+(1-$B31/AK$1)*_xlfn.POISSON.DIST(AK$1-1,$B31,TRUE))*EXP(-(AK$1-$B31)*'Staffing Calculator'!$B$5/'Staffing Calculator'!$B$6))</f>
        <v/>
      </c>
      <c r="AL31" s="56">
        <f>IF(AL$1&lt;=$B31,0,1-_xlfn.POISSON.DIST(AL$1,$B31,FALSE)/(_xlfn.POISSON.DIST(AL$1,$B31,FALSE)+(1-$B31/AL$1)*_xlfn.POISSON.DIST(AL$1-1,$B31,TRUE))*EXP(-(AL$1-$B31)*'Staffing Calculator'!$B$5/'Staffing Calculator'!$B$6))</f>
        <v/>
      </c>
      <c r="AM31" s="56">
        <f>IF(AM$1&lt;=$B31,0,1-_xlfn.POISSON.DIST(AM$1,$B31,FALSE)/(_xlfn.POISSON.DIST(AM$1,$B31,FALSE)+(1-$B31/AM$1)*_xlfn.POISSON.DIST(AM$1-1,$B31,TRUE))*EXP(-(AM$1-$B31)*'Staffing Calculator'!$B$5/'Staffing Calculator'!$B$6))</f>
        <v/>
      </c>
      <c r="AN31" s="56">
        <f>IF(AN$1&lt;=$B31,0,1-_xlfn.POISSON.DIST(AN$1,$B31,FALSE)/(_xlfn.POISSON.DIST(AN$1,$B31,FALSE)+(1-$B31/AN$1)*_xlfn.POISSON.DIST(AN$1-1,$B31,TRUE))*EXP(-(AN$1-$B31)*'Staffing Calculator'!$B$5/'Staffing Calculator'!$B$6))</f>
        <v/>
      </c>
      <c r="AO31" s="56">
        <f>IF(AO$1&lt;=$B31,0,1-_xlfn.POISSON.DIST(AO$1,$B31,FALSE)/(_xlfn.POISSON.DIST(AO$1,$B31,FALSE)+(1-$B31/AO$1)*_xlfn.POISSON.DIST(AO$1-1,$B31,TRUE))*EXP(-(AO$1-$B31)*'Staffing Calculator'!$B$5/'Staffing Calculator'!$B$6))</f>
        <v/>
      </c>
      <c r="AP31" s="56">
        <f>IF(AP$1&lt;=$B31,0,1-_xlfn.POISSON.DIST(AP$1,$B31,FALSE)/(_xlfn.POISSON.DIST(AP$1,$B31,FALSE)+(1-$B31/AP$1)*_xlfn.POISSON.DIST(AP$1-1,$B31,TRUE))*EXP(-(AP$1-$B31)*'Staffing Calculator'!$B$5/'Staffing Calculator'!$B$6))</f>
        <v/>
      </c>
      <c r="AQ31" s="56">
        <f>IF(AQ$1&lt;=$B31,0,1-_xlfn.POISSON.DIST(AQ$1,$B31,FALSE)/(_xlfn.POISSON.DIST(AQ$1,$B31,FALSE)+(1-$B31/AQ$1)*_xlfn.POISSON.DIST(AQ$1-1,$B31,TRUE))*EXP(-(AQ$1-$B31)*'Staffing Calculator'!$B$5/'Staffing Calculator'!$B$6))</f>
        <v/>
      </c>
      <c r="AR31" s="56">
        <f>IF(AR$1&lt;=$B31,0,1-_xlfn.POISSON.DIST(AR$1,$B31,FALSE)/(_xlfn.POISSON.DIST(AR$1,$B31,FALSE)+(1-$B31/AR$1)*_xlfn.POISSON.DIST(AR$1-1,$B31,TRUE))*EXP(-(AR$1-$B31)*'Staffing Calculator'!$B$5/'Staffing Calculator'!$B$6))</f>
        <v/>
      </c>
      <c r="AS31" s="56">
        <f>IF(AS$1&lt;=$B31,0,1-_xlfn.POISSON.DIST(AS$1,$B31,FALSE)/(_xlfn.POISSON.DIST(AS$1,$B31,FALSE)+(1-$B31/AS$1)*_xlfn.POISSON.DIST(AS$1-1,$B31,TRUE))*EXP(-(AS$1-$B31)*'Staffing Calculator'!$B$5/'Staffing Calculator'!$B$6))</f>
        <v/>
      </c>
      <c r="AT31" s="56">
        <f>IF(AT$1&lt;=$B31,0,1-_xlfn.POISSON.DIST(AT$1,$B31,FALSE)/(_xlfn.POISSON.DIST(AT$1,$B31,FALSE)+(1-$B31/AT$1)*_xlfn.POISSON.DIST(AT$1-1,$B31,TRUE))*EXP(-(AT$1-$B31)*'Staffing Calculator'!$B$5/'Staffing Calculator'!$B$6))</f>
        <v/>
      </c>
      <c r="AU31" s="56">
        <f>IF(AU$1&lt;=$B31,0,1-_xlfn.POISSON.DIST(AU$1,$B31,FALSE)/(_xlfn.POISSON.DIST(AU$1,$B31,FALSE)+(1-$B31/AU$1)*_xlfn.POISSON.DIST(AU$1-1,$B31,TRUE))*EXP(-(AU$1-$B31)*'Staffing Calculator'!$B$5/'Staffing Calculator'!$B$6))</f>
        <v/>
      </c>
      <c r="AV31" s="56">
        <f>IF(AV$1&lt;=$B31,0,1-_xlfn.POISSON.DIST(AV$1,$B31,FALSE)/(_xlfn.POISSON.DIST(AV$1,$B31,FALSE)+(1-$B31/AV$1)*_xlfn.POISSON.DIST(AV$1-1,$B31,TRUE))*EXP(-(AV$1-$B31)*'Staffing Calculator'!$B$5/'Staffing Calculator'!$B$6))</f>
        <v/>
      </c>
      <c r="AW31" s="56">
        <f>IF(AW$1&lt;=$B31,0,1-_xlfn.POISSON.DIST(AW$1,$B31,FALSE)/(_xlfn.POISSON.DIST(AW$1,$B31,FALSE)+(1-$B31/AW$1)*_xlfn.POISSON.DIST(AW$1-1,$B31,TRUE))*EXP(-(AW$1-$B31)*'Staffing Calculator'!$B$5/'Staffing Calculator'!$B$6))</f>
        <v/>
      </c>
      <c r="AX31" s="56">
        <f>IF(AX$1&lt;=$B31,0,1-_xlfn.POISSON.DIST(AX$1,$B31,FALSE)/(_xlfn.POISSON.DIST(AX$1,$B31,FALSE)+(1-$B31/AX$1)*_xlfn.POISSON.DIST(AX$1-1,$B31,TRUE))*EXP(-(AX$1-$B31)*'Staffing Calculator'!$B$5/'Staffing Calculator'!$B$6))</f>
        <v/>
      </c>
      <c r="AY31" s="56">
        <f>IF(AY$1&lt;=$B31,0,1-_xlfn.POISSON.DIST(AY$1,$B31,FALSE)/(_xlfn.POISSON.DIST(AY$1,$B31,FALSE)+(1-$B31/AY$1)*_xlfn.POISSON.DIST(AY$1-1,$B31,TRUE))*EXP(-(AY$1-$B31)*'Staffing Calculator'!$B$5/'Staffing Calculator'!$B$6))</f>
        <v/>
      </c>
      <c r="AZ31" s="56">
        <f>IF(AZ$1&lt;=$B31,0,1-_xlfn.POISSON.DIST(AZ$1,$B31,FALSE)/(_xlfn.POISSON.DIST(AZ$1,$B31,FALSE)+(1-$B31/AZ$1)*_xlfn.POISSON.DIST(AZ$1-1,$B31,TRUE))*EXP(-(AZ$1-$B31)*'Staffing Calculator'!$B$5/'Staffing Calculator'!$B$6))</f>
        <v/>
      </c>
      <c r="BA31" s="56">
        <f>IF(BA$1&lt;=$B31,0,1-_xlfn.POISSON.DIST(BA$1,$B31,FALSE)/(_xlfn.POISSON.DIST(BA$1,$B31,FALSE)+(1-$B31/BA$1)*_xlfn.POISSON.DIST(BA$1-1,$B31,TRUE))*EXP(-(BA$1-$B31)*'Staffing Calculator'!$B$5/'Staffing Calculator'!$B$6))</f>
        <v/>
      </c>
      <c r="BB31" s="56">
        <f>IF(BB$1&lt;=$B31,0,1-_xlfn.POISSON.DIST(BB$1,$B31,FALSE)/(_xlfn.POISSON.DIST(BB$1,$B31,FALSE)+(1-$B31/BB$1)*_xlfn.POISSON.DIST(BB$1-1,$B31,TRUE))*EXP(-(BB$1-$B31)*'Staffing Calculator'!$B$5/'Staffing Calculator'!$B$6))</f>
        <v/>
      </c>
      <c r="BC31" s="56">
        <f>IF(BC$1&lt;=$B31,0,1-_xlfn.POISSON.DIST(BC$1,$B31,FALSE)/(_xlfn.POISSON.DIST(BC$1,$B31,FALSE)+(1-$B31/BC$1)*_xlfn.POISSON.DIST(BC$1-1,$B31,TRUE))*EXP(-(BC$1-$B31)*'Staffing Calculator'!$B$5/'Staffing Calculator'!$B$6))</f>
        <v/>
      </c>
      <c r="BD31" s="56">
        <f>IF(BD$1&lt;=$B31,0,1-_xlfn.POISSON.DIST(BD$1,$B31,FALSE)/(_xlfn.POISSON.DIST(BD$1,$B31,FALSE)+(1-$B31/BD$1)*_xlfn.POISSON.DIST(BD$1-1,$B31,TRUE))*EXP(-(BD$1-$B31)*'Staffing Calculator'!$B$5/'Staffing Calculator'!$B$6))</f>
        <v/>
      </c>
      <c r="BE31" s="56">
        <f>IF(BE$1&lt;=$B31,0,1-_xlfn.POISSON.DIST(BE$1,$B31,FALSE)/(_xlfn.POISSON.DIST(BE$1,$B31,FALSE)+(1-$B31/BE$1)*_xlfn.POISSON.DIST(BE$1-1,$B31,TRUE))*EXP(-(BE$1-$B31)*'Staffing Calculator'!$B$5/'Staffing Calculator'!$B$6))</f>
        <v/>
      </c>
      <c r="BF31" s="56">
        <f>IF(BF$1&lt;=$B31,0,1-_xlfn.POISSON.DIST(BF$1,$B31,FALSE)/(_xlfn.POISSON.DIST(BF$1,$B31,FALSE)+(1-$B31/BF$1)*_xlfn.POISSON.DIST(BF$1-1,$B31,TRUE))*EXP(-(BF$1-$B31)*'Staffing Calculator'!$B$5/'Staffing Calculator'!$B$6))</f>
        <v/>
      </c>
      <c r="BG31" s="56">
        <f>IF(BG$1&lt;=$B31,0,1-_xlfn.POISSON.DIST(BG$1,$B31,FALSE)/(_xlfn.POISSON.DIST(BG$1,$B31,FALSE)+(1-$B31/BG$1)*_xlfn.POISSON.DIST(BG$1-1,$B31,TRUE))*EXP(-(BG$1-$B31)*'Staffing Calculator'!$B$5/'Staffing Calculator'!$B$6))</f>
        <v/>
      </c>
      <c r="BH31" s="56">
        <f>IF(BH$1&lt;=$B31,0,1-_xlfn.POISSON.DIST(BH$1,$B31,FALSE)/(_xlfn.POISSON.DIST(BH$1,$B31,FALSE)+(1-$B31/BH$1)*_xlfn.POISSON.DIST(BH$1-1,$B31,TRUE))*EXP(-(BH$1-$B31)*'Staffing Calculator'!$B$5/'Staffing Calculator'!$B$6))</f>
        <v/>
      </c>
      <c r="BI31" s="56">
        <f>IF(BI$1&lt;=$B31,0,1-_xlfn.POISSON.DIST(BI$1,$B31,FALSE)/(_xlfn.POISSON.DIST(BI$1,$B31,FALSE)+(1-$B31/BI$1)*_xlfn.POISSON.DIST(BI$1-1,$B31,TRUE))*EXP(-(BI$1-$B31)*'Staffing Calculator'!$B$5/'Staffing Calculator'!$B$6))</f>
        <v/>
      </c>
      <c r="BJ31" s="56">
        <f>IF(BJ$1&lt;=$B31,0,1-_xlfn.POISSON.DIST(BJ$1,$B31,FALSE)/(_xlfn.POISSON.DIST(BJ$1,$B31,FALSE)+(1-$B31/BJ$1)*_xlfn.POISSON.DIST(BJ$1-1,$B31,TRUE))*EXP(-(BJ$1-$B31)*'Staffing Calculator'!$B$5/'Staffing Calculator'!$B$6))</f>
        <v/>
      </c>
    </row>
    <row r="32">
      <c r="A32" s="54">
        <f>'Staffing Calculator'!A32</f>
        <v/>
      </c>
      <c r="B32" s="55">
        <f>'Staffing Calculator'!C32</f>
        <v/>
      </c>
      <c r="C32" s="56">
        <f>IF(C$1&lt;=$B32,0,1-_xlfn.POISSON.DIST(C$1,$B32,FALSE)/(_xlfn.POISSON.DIST(C$1,$B32,FALSE)+(1-$B32/C$1)*_xlfn.POISSON.DIST(C$1-1,$B32,TRUE))*EXP(-(C$1-$B32)*'Staffing Calculator'!$B$5/'Staffing Calculator'!$B$6))</f>
        <v/>
      </c>
      <c r="D32" s="56">
        <f>IF(D$1&lt;=$B32,0,1-_xlfn.POISSON.DIST(D$1,$B32,FALSE)/(_xlfn.POISSON.DIST(D$1,$B32,FALSE)+(1-$B32/D$1)*_xlfn.POISSON.DIST(D$1-1,$B32,TRUE))*EXP(-(D$1-$B32)*'Staffing Calculator'!$B$5/'Staffing Calculator'!$B$6))</f>
        <v/>
      </c>
      <c r="E32" s="56">
        <f>IF(E$1&lt;=$B32,0,1-_xlfn.POISSON.DIST(E$1,$B32,FALSE)/(_xlfn.POISSON.DIST(E$1,$B32,FALSE)+(1-$B32/E$1)*_xlfn.POISSON.DIST(E$1-1,$B32,TRUE))*EXP(-(E$1-$B32)*'Staffing Calculator'!$B$5/'Staffing Calculator'!$B$6))</f>
        <v/>
      </c>
      <c r="F32" s="56">
        <f>IF(F$1&lt;=$B32,0,1-_xlfn.POISSON.DIST(F$1,$B32,FALSE)/(_xlfn.POISSON.DIST(F$1,$B32,FALSE)+(1-$B32/F$1)*_xlfn.POISSON.DIST(F$1-1,$B32,TRUE))*EXP(-(F$1-$B32)*'Staffing Calculator'!$B$5/'Staffing Calculator'!$B$6))</f>
        <v/>
      </c>
      <c r="G32" s="56">
        <f>IF(G$1&lt;=$B32,0,1-_xlfn.POISSON.DIST(G$1,$B32,FALSE)/(_xlfn.POISSON.DIST(G$1,$B32,FALSE)+(1-$B32/G$1)*_xlfn.POISSON.DIST(G$1-1,$B32,TRUE))*EXP(-(G$1-$B32)*'Staffing Calculator'!$B$5/'Staffing Calculator'!$B$6))</f>
        <v/>
      </c>
      <c r="H32" s="56">
        <f>IF(H$1&lt;=$B32,0,1-_xlfn.POISSON.DIST(H$1,$B32,FALSE)/(_xlfn.POISSON.DIST(H$1,$B32,FALSE)+(1-$B32/H$1)*_xlfn.POISSON.DIST(H$1-1,$B32,TRUE))*EXP(-(H$1-$B32)*'Staffing Calculator'!$B$5/'Staffing Calculator'!$B$6))</f>
        <v/>
      </c>
      <c r="I32" s="56">
        <f>IF(I$1&lt;=$B32,0,1-_xlfn.POISSON.DIST(I$1,$B32,FALSE)/(_xlfn.POISSON.DIST(I$1,$B32,FALSE)+(1-$B32/I$1)*_xlfn.POISSON.DIST(I$1-1,$B32,TRUE))*EXP(-(I$1-$B32)*'Staffing Calculator'!$B$5/'Staffing Calculator'!$B$6))</f>
        <v/>
      </c>
      <c r="J32" s="56">
        <f>IF(J$1&lt;=$B32,0,1-_xlfn.POISSON.DIST(J$1,$B32,FALSE)/(_xlfn.POISSON.DIST(J$1,$B32,FALSE)+(1-$B32/J$1)*_xlfn.POISSON.DIST(J$1-1,$B32,TRUE))*EXP(-(J$1-$B32)*'Staffing Calculator'!$B$5/'Staffing Calculator'!$B$6))</f>
        <v/>
      </c>
      <c r="K32" s="56">
        <f>IF(K$1&lt;=$B32,0,1-_xlfn.POISSON.DIST(K$1,$B32,FALSE)/(_xlfn.POISSON.DIST(K$1,$B32,FALSE)+(1-$B32/K$1)*_xlfn.POISSON.DIST(K$1-1,$B32,TRUE))*EXP(-(K$1-$B32)*'Staffing Calculator'!$B$5/'Staffing Calculator'!$B$6))</f>
        <v/>
      </c>
      <c r="L32" s="56">
        <f>IF(L$1&lt;=$B32,0,1-_xlfn.POISSON.DIST(L$1,$B32,FALSE)/(_xlfn.POISSON.DIST(L$1,$B32,FALSE)+(1-$B32/L$1)*_xlfn.POISSON.DIST(L$1-1,$B32,TRUE))*EXP(-(L$1-$B32)*'Staffing Calculator'!$B$5/'Staffing Calculator'!$B$6))</f>
        <v/>
      </c>
      <c r="M32" s="56">
        <f>IF(M$1&lt;=$B32,0,1-_xlfn.POISSON.DIST(M$1,$B32,FALSE)/(_xlfn.POISSON.DIST(M$1,$B32,FALSE)+(1-$B32/M$1)*_xlfn.POISSON.DIST(M$1-1,$B32,TRUE))*EXP(-(M$1-$B32)*'Staffing Calculator'!$B$5/'Staffing Calculator'!$B$6))</f>
        <v/>
      </c>
      <c r="N32" s="56">
        <f>IF(N$1&lt;=$B32,0,1-_xlfn.POISSON.DIST(N$1,$B32,FALSE)/(_xlfn.POISSON.DIST(N$1,$B32,FALSE)+(1-$B32/N$1)*_xlfn.POISSON.DIST(N$1-1,$B32,TRUE))*EXP(-(N$1-$B32)*'Staffing Calculator'!$B$5/'Staffing Calculator'!$B$6))</f>
        <v/>
      </c>
      <c r="O32" s="56">
        <f>IF(O$1&lt;=$B32,0,1-_xlfn.POISSON.DIST(O$1,$B32,FALSE)/(_xlfn.POISSON.DIST(O$1,$B32,FALSE)+(1-$B32/O$1)*_xlfn.POISSON.DIST(O$1-1,$B32,TRUE))*EXP(-(O$1-$B32)*'Staffing Calculator'!$B$5/'Staffing Calculator'!$B$6))</f>
        <v/>
      </c>
      <c r="P32" s="56">
        <f>IF(P$1&lt;=$B32,0,1-_xlfn.POISSON.DIST(P$1,$B32,FALSE)/(_xlfn.POISSON.DIST(P$1,$B32,FALSE)+(1-$B32/P$1)*_xlfn.POISSON.DIST(P$1-1,$B32,TRUE))*EXP(-(P$1-$B32)*'Staffing Calculator'!$B$5/'Staffing Calculator'!$B$6))</f>
        <v/>
      </c>
      <c r="Q32" s="56">
        <f>IF(Q$1&lt;=$B32,0,1-_xlfn.POISSON.DIST(Q$1,$B32,FALSE)/(_xlfn.POISSON.DIST(Q$1,$B32,FALSE)+(1-$B32/Q$1)*_xlfn.POISSON.DIST(Q$1-1,$B32,TRUE))*EXP(-(Q$1-$B32)*'Staffing Calculator'!$B$5/'Staffing Calculator'!$B$6))</f>
        <v/>
      </c>
      <c r="R32" s="56">
        <f>IF(R$1&lt;=$B32,0,1-_xlfn.POISSON.DIST(R$1,$B32,FALSE)/(_xlfn.POISSON.DIST(R$1,$B32,FALSE)+(1-$B32/R$1)*_xlfn.POISSON.DIST(R$1-1,$B32,TRUE))*EXP(-(R$1-$B32)*'Staffing Calculator'!$B$5/'Staffing Calculator'!$B$6))</f>
        <v/>
      </c>
      <c r="S32" s="56">
        <f>IF(S$1&lt;=$B32,0,1-_xlfn.POISSON.DIST(S$1,$B32,FALSE)/(_xlfn.POISSON.DIST(S$1,$B32,FALSE)+(1-$B32/S$1)*_xlfn.POISSON.DIST(S$1-1,$B32,TRUE))*EXP(-(S$1-$B32)*'Staffing Calculator'!$B$5/'Staffing Calculator'!$B$6))</f>
        <v/>
      </c>
      <c r="T32" s="56">
        <f>IF(T$1&lt;=$B32,0,1-_xlfn.POISSON.DIST(T$1,$B32,FALSE)/(_xlfn.POISSON.DIST(T$1,$B32,FALSE)+(1-$B32/T$1)*_xlfn.POISSON.DIST(T$1-1,$B32,TRUE))*EXP(-(T$1-$B32)*'Staffing Calculator'!$B$5/'Staffing Calculator'!$B$6))</f>
        <v/>
      </c>
      <c r="U32" s="56">
        <f>IF(U$1&lt;=$B32,0,1-_xlfn.POISSON.DIST(U$1,$B32,FALSE)/(_xlfn.POISSON.DIST(U$1,$B32,FALSE)+(1-$B32/U$1)*_xlfn.POISSON.DIST(U$1-1,$B32,TRUE))*EXP(-(U$1-$B32)*'Staffing Calculator'!$B$5/'Staffing Calculator'!$B$6))</f>
        <v/>
      </c>
      <c r="V32" s="56">
        <f>IF(V$1&lt;=$B32,0,1-_xlfn.POISSON.DIST(V$1,$B32,FALSE)/(_xlfn.POISSON.DIST(V$1,$B32,FALSE)+(1-$B32/V$1)*_xlfn.POISSON.DIST(V$1-1,$B32,TRUE))*EXP(-(V$1-$B32)*'Staffing Calculator'!$B$5/'Staffing Calculator'!$B$6))</f>
        <v/>
      </c>
      <c r="W32" s="56">
        <f>IF(W$1&lt;=$B32,0,1-_xlfn.POISSON.DIST(W$1,$B32,FALSE)/(_xlfn.POISSON.DIST(W$1,$B32,FALSE)+(1-$B32/W$1)*_xlfn.POISSON.DIST(W$1-1,$B32,TRUE))*EXP(-(W$1-$B32)*'Staffing Calculator'!$B$5/'Staffing Calculator'!$B$6))</f>
        <v/>
      </c>
      <c r="X32" s="56">
        <f>IF(X$1&lt;=$B32,0,1-_xlfn.POISSON.DIST(X$1,$B32,FALSE)/(_xlfn.POISSON.DIST(X$1,$B32,FALSE)+(1-$B32/X$1)*_xlfn.POISSON.DIST(X$1-1,$B32,TRUE))*EXP(-(X$1-$B32)*'Staffing Calculator'!$B$5/'Staffing Calculator'!$B$6))</f>
        <v/>
      </c>
      <c r="Y32" s="56">
        <f>IF(Y$1&lt;=$B32,0,1-_xlfn.POISSON.DIST(Y$1,$B32,FALSE)/(_xlfn.POISSON.DIST(Y$1,$B32,FALSE)+(1-$B32/Y$1)*_xlfn.POISSON.DIST(Y$1-1,$B32,TRUE))*EXP(-(Y$1-$B32)*'Staffing Calculator'!$B$5/'Staffing Calculator'!$B$6))</f>
        <v/>
      </c>
      <c r="Z32" s="56">
        <f>IF(Z$1&lt;=$B32,0,1-_xlfn.POISSON.DIST(Z$1,$B32,FALSE)/(_xlfn.POISSON.DIST(Z$1,$B32,FALSE)+(1-$B32/Z$1)*_xlfn.POISSON.DIST(Z$1-1,$B32,TRUE))*EXP(-(Z$1-$B32)*'Staffing Calculator'!$B$5/'Staffing Calculator'!$B$6))</f>
        <v/>
      </c>
      <c r="AA32" s="56">
        <f>IF(AA$1&lt;=$B32,0,1-_xlfn.POISSON.DIST(AA$1,$B32,FALSE)/(_xlfn.POISSON.DIST(AA$1,$B32,FALSE)+(1-$B32/AA$1)*_xlfn.POISSON.DIST(AA$1-1,$B32,TRUE))*EXP(-(AA$1-$B32)*'Staffing Calculator'!$B$5/'Staffing Calculator'!$B$6))</f>
        <v/>
      </c>
      <c r="AB32" s="56">
        <f>IF(AB$1&lt;=$B32,0,1-_xlfn.POISSON.DIST(AB$1,$B32,FALSE)/(_xlfn.POISSON.DIST(AB$1,$B32,FALSE)+(1-$B32/AB$1)*_xlfn.POISSON.DIST(AB$1-1,$B32,TRUE))*EXP(-(AB$1-$B32)*'Staffing Calculator'!$B$5/'Staffing Calculator'!$B$6))</f>
        <v/>
      </c>
      <c r="AC32" s="56">
        <f>IF(AC$1&lt;=$B32,0,1-_xlfn.POISSON.DIST(AC$1,$B32,FALSE)/(_xlfn.POISSON.DIST(AC$1,$B32,FALSE)+(1-$B32/AC$1)*_xlfn.POISSON.DIST(AC$1-1,$B32,TRUE))*EXP(-(AC$1-$B32)*'Staffing Calculator'!$B$5/'Staffing Calculator'!$B$6))</f>
        <v/>
      </c>
      <c r="AD32" s="56">
        <f>IF(AD$1&lt;=$B32,0,1-_xlfn.POISSON.DIST(AD$1,$B32,FALSE)/(_xlfn.POISSON.DIST(AD$1,$B32,FALSE)+(1-$B32/AD$1)*_xlfn.POISSON.DIST(AD$1-1,$B32,TRUE))*EXP(-(AD$1-$B32)*'Staffing Calculator'!$B$5/'Staffing Calculator'!$B$6))</f>
        <v/>
      </c>
      <c r="AE32" s="56">
        <f>IF(AE$1&lt;=$B32,0,1-_xlfn.POISSON.DIST(AE$1,$B32,FALSE)/(_xlfn.POISSON.DIST(AE$1,$B32,FALSE)+(1-$B32/AE$1)*_xlfn.POISSON.DIST(AE$1-1,$B32,TRUE))*EXP(-(AE$1-$B32)*'Staffing Calculator'!$B$5/'Staffing Calculator'!$B$6))</f>
        <v/>
      </c>
      <c r="AF32" s="56">
        <f>IF(AF$1&lt;=$B32,0,1-_xlfn.POISSON.DIST(AF$1,$B32,FALSE)/(_xlfn.POISSON.DIST(AF$1,$B32,FALSE)+(1-$B32/AF$1)*_xlfn.POISSON.DIST(AF$1-1,$B32,TRUE))*EXP(-(AF$1-$B32)*'Staffing Calculator'!$B$5/'Staffing Calculator'!$B$6))</f>
        <v/>
      </c>
      <c r="AG32" s="56">
        <f>IF(AG$1&lt;=$B32,0,1-_xlfn.POISSON.DIST(AG$1,$B32,FALSE)/(_xlfn.POISSON.DIST(AG$1,$B32,FALSE)+(1-$B32/AG$1)*_xlfn.POISSON.DIST(AG$1-1,$B32,TRUE))*EXP(-(AG$1-$B32)*'Staffing Calculator'!$B$5/'Staffing Calculator'!$B$6))</f>
        <v/>
      </c>
      <c r="AH32" s="56">
        <f>IF(AH$1&lt;=$B32,0,1-_xlfn.POISSON.DIST(AH$1,$B32,FALSE)/(_xlfn.POISSON.DIST(AH$1,$B32,FALSE)+(1-$B32/AH$1)*_xlfn.POISSON.DIST(AH$1-1,$B32,TRUE))*EXP(-(AH$1-$B32)*'Staffing Calculator'!$B$5/'Staffing Calculator'!$B$6))</f>
        <v/>
      </c>
      <c r="AI32" s="56">
        <f>IF(AI$1&lt;=$B32,0,1-_xlfn.POISSON.DIST(AI$1,$B32,FALSE)/(_xlfn.POISSON.DIST(AI$1,$B32,FALSE)+(1-$B32/AI$1)*_xlfn.POISSON.DIST(AI$1-1,$B32,TRUE))*EXP(-(AI$1-$B32)*'Staffing Calculator'!$B$5/'Staffing Calculator'!$B$6))</f>
        <v/>
      </c>
      <c r="AJ32" s="56">
        <f>IF(AJ$1&lt;=$B32,0,1-_xlfn.POISSON.DIST(AJ$1,$B32,FALSE)/(_xlfn.POISSON.DIST(AJ$1,$B32,FALSE)+(1-$B32/AJ$1)*_xlfn.POISSON.DIST(AJ$1-1,$B32,TRUE))*EXP(-(AJ$1-$B32)*'Staffing Calculator'!$B$5/'Staffing Calculator'!$B$6))</f>
        <v/>
      </c>
      <c r="AK32" s="56">
        <f>IF(AK$1&lt;=$B32,0,1-_xlfn.POISSON.DIST(AK$1,$B32,FALSE)/(_xlfn.POISSON.DIST(AK$1,$B32,FALSE)+(1-$B32/AK$1)*_xlfn.POISSON.DIST(AK$1-1,$B32,TRUE))*EXP(-(AK$1-$B32)*'Staffing Calculator'!$B$5/'Staffing Calculator'!$B$6))</f>
        <v/>
      </c>
      <c r="AL32" s="56">
        <f>IF(AL$1&lt;=$B32,0,1-_xlfn.POISSON.DIST(AL$1,$B32,FALSE)/(_xlfn.POISSON.DIST(AL$1,$B32,FALSE)+(1-$B32/AL$1)*_xlfn.POISSON.DIST(AL$1-1,$B32,TRUE))*EXP(-(AL$1-$B32)*'Staffing Calculator'!$B$5/'Staffing Calculator'!$B$6))</f>
        <v/>
      </c>
      <c r="AM32" s="56">
        <f>IF(AM$1&lt;=$B32,0,1-_xlfn.POISSON.DIST(AM$1,$B32,FALSE)/(_xlfn.POISSON.DIST(AM$1,$B32,FALSE)+(1-$B32/AM$1)*_xlfn.POISSON.DIST(AM$1-1,$B32,TRUE))*EXP(-(AM$1-$B32)*'Staffing Calculator'!$B$5/'Staffing Calculator'!$B$6))</f>
        <v/>
      </c>
      <c r="AN32" s="56">
        <f>IF(AN$1&lt;=$B32,0,1-_xlfn.POISSON.DIST(AN$1,$B32,FALSE)/(_xlfn.POISSON.DIST(AN$1,$B32,FALSE)+(1-$B32/AN$1)*_xlfn.POISSON.DIST(AN$1-1,$B32,TRUE))*EXP(-(AN$1-$B32)*'Staffing Calculator'!$B$5/'Staffing Calculator'!$B$6))</f>
        <v/>
      </c>
      <c r="AO32" s="56">
        <f>IF(AO$1&lt;=$B32,0,1-_xlfn.POISSON.DIST(AO$1,$B32,FALSE)/(_xlfn.POISSON.DIST(AO$1,$B32,FALSE)+(1-$B32/AO$1)*_xlfn.POISSON.DIST(AO$1-1,$B32,TRUE))*EXP(-(AO$1-$B32)*'Staffing Calculator'!$B$5/'Staffing Calculator'!$B$6))</f>
        <v/>
      </c>
      <c r="AP32" s="56">
        <f>IF(AP$1&lt;=$B32,0,1-_xlfn.POISSON.DIST(AP$1,$B32,FALSE)/(_xlfn.POISSON.DIST(AP$1,$B32,FALSE)+(1-$B32/AP$1)*_xlfn.POISSON.DIST(AP$1-1,$B32,TRUE))*EXP(-(AP$1-$B32)*'Staffing Calculator'!$B$5/'Staffing Calculator'!$B$6))</f>
        <v/>
      </c>
      <c r="AQ32" s="56">
        <f>IF(AQ$1&lt;=$B32,0,1-_xlfn.POISSON.DIST(AQ$1,$B32,FALSE)/(_xlfn.POISSON.DIST(AQ$1,$B32,FALSE)+(1-$B32/AQ$1)*_xlfn.POISSON.DIST(AQ$1-1,$B32,TRUE))*EXP(-(AQ$1-$B32)*'Staffing Calculator'!$B$5/'Staffing Calculator'!$B$6))</f>
        <v/>
      </c>
      <c r="AR32" s="56">
        <f>IF(AR$1&lt;=$B32,0,1-_xlfn.POISSON.DIST(AR$1,$B32,FALSE)/(_xlfn.POISSON.DIST(AR$1,$B32,FALSE)+(1-$B32/AR$1)*_xlfn.POISSON.DIST(AR$1-1,$B32,TRUE))*EXP(-(AR$1-$B32)*'Staffing Calculator'!$B$5/'Staffing Calculator'!$B$6))</f>
        <v/>
      </c>
      <c r="AS32" s="56">
        <f>IF(AS$1&lt;=$B32,0,1-_xlfn.POISSON.DIST(AS$1,$B32,FALSE)/(_xlfn.POISSON.DIST(AS$1,$B32,FALSE)+(1-$B32/AS$1)*_xlfn.POISSON.DIST(AS$1-1,$B32,TRUE))*EXP(-(AS$1-$B32)*'Staffing Calculator'!$B$5/'Staffing Calculator'!$B$6))</f>
        <v/>
      </c>
      <c r="AT32" s="56">
        <f>IF(AT$1&lt;=$B32,0,1-_xlfn.POISSON.DIST(AT$1,$B32,FALSE)/(_xlfn.POISSON.DIST(AT$1,$B32,FALSE)+(1-$B32/AT$1)*_xlfn.POISSON.DIST(AT$1-1,$B32,TRUE))*EXP(-(AT$1-$B32)*'Staffing Calculator'!$B$5/'Staffing Calculator'!$B$6))</f>
        <v/>
      </c>
      <c r="AU32" s="56">
        <f>IF(AU$1&lt;=$B32,0,1-_xlfn.POISSON.DIST(AU$1,$B32,FALSE)/(_xlfn.POISSON.DIST(AU$1,$B32,FALSE)+(1-$B32/AU$1)*_xlfn.POISSON.DIST(AU$1-1,$B32,TRUE))*EXP(-(AU$1-$B32)*'Staffing Calculator'!$B$5/'Staffing Calculator'!$B$6))</f>
        <v/>
      </c>
      <c r="AV32" s="56">
        <f>IF(AV$1&lt;=$B32,0,1-_xlfn.POISSON.DIST(AV$1,$B32,FALSE)/(_xlfn.POISSON.DIST(AV$1,$B32,FALSE)+(1-$B32/AV$1)*_xlfn.POISSON.DIST(AV$1-1,$B32,TRUE))*EXP(-(AV$1-$B32)*'Staffing Calculator'!$B$5/'Staffing Calculator'!$B$6))</f>
        <v/>
      </c>
      <c r="AW32" s="56">
        <f>IF(AW$1&lt;=$B32,0,1-_xlfn.POISSON.DIST(AW$1,$B32,FALSE)/(_xlfn.POISSON.DIST(AW$1,$B32,FALSE)+(1-$B32/AW$1)*_xlfn.POISSON.DIST(AW$1-1,$B32,TRUE))*EXP(-(AW$1-$B32)*'Staffing Calculator'!$B$5/'Staffing Calculator'!$B$6))</f>
        <v/>
      </c>
      <c r="AX32" s="56">
        <f>IF(AX$1&lt;=$B32,0,1-_xlfn.POISSON.DIST(AX$1,$B32,FALSE)/(_xlfn.POISSON.DIST(AX$1,$B32,FALSE)+(1-$B32/AX$1)*_xlfn.POISSON.DIST(AX$1-1,$B32,TRUE))*EXP(-(AX$1-$B32)*'Staffing Calculator'!$B$5/'Staffing Calculator'!$B$6))</f>
        <v/>
      </c>
      <c r="AY32" s="56">
        <f>IF(AY$1&lt;=$B32,0,1-_xlfn.POISSON.DIST(AY$1,$B32,FALSE)/(_xlfn.POISSON.DIST(AY$1,$B32,FALSE)+(1-$B32/AY$1)*_xlfn.POISSON.DIST(AY$1-1,$B32,TRUE))*EXP(-(AY$1-$B32)*'Staffing Calculator'!$B$5/'Staffing Calculator'!$B$6))</f>
        <v/>
      </c>
      <c r="AZ32" s="56">
        <f>IF(AZ$1&lt;=$B32,0,1-_xlfn.POISSON.DIST(AZ$1,$B32,FALSE)/(_xlfn.POISSON.DIST(AZ$1,$B32,FALSE)+(1-$B32/AZ$1)*_xlfn.POISSON.DIST(AZ$1-1,$B32,TRUE))*EXP(-(AZ$1-$B32)*'Staffing Calculator'!$B$5/'Staffing Calculator'!$B$6))</f>
        <v/>
      </c>
      <c r="BA32" s="56">
        <f>IF(BA$1&lt;=$B32,0,1-_xlfn.POISSON.DIST(BA$1,$B32,FALSE)/(_xlfn.POISSON.DIST(BA$1,$B32,FALSE)+(1-$B32/BA$1)*_xlfn.POISSON.DIST(BA$1-1,$B32,TRUE))*EXP(-(BA$1-$B32)*'Staffing Calculator'!$B$5/'Staffing Calculator'!$B$6))</f>
        <v/>
      </c>
      <c r="BB32" s="56">
        <f>IF(BB$1&lt;=$B32,0,1-_xlfn.POISSON.DIST(BB$1,$B32,FALSE)/(_xlfn.POISSON.DIST(BB$1,$B32,FALSE)+(1-$B32/BB$1)*_xlfn.POISSON.DIST(BB$1-1,$B32,TRUE))*EXP(-(BB$1-$B32)*'Staffing Calculator'!$B$5/'Staffing Calculator'!$B$6))</f>
        <v/>
      </c>
      <c r="BC32" s="56">
        <f>IF(BC$1&lt;=$B32,0,1-_xlfn.POISSON.DIST(BC$1,$B32,FALSE)/(_xlfn.POISSON.DIST(BC$1,$B32,FALSE)+(1-$B32/BC$1)*_xlfn.POISSON.DIST(BC$1-1,$B32,TRUE))*EXP(-(BC$1-$B32)*'Staffing Calculator'!$B$5/'Staffing Calculator'!$B$6))</f>
        <v/>
      </c>
      <c r="BD32" s="56">
        <f>IF(BD$1&lt;=$B32,0,1-_xlfn.POISSON.DIST(BD$1,$B32,FALSE)/(_xlfn.POISSON.DIST(BD$1,$B32,FALSE)+(1-$B32/BD$1)*_xlfn.POISSON.DIST(BD$1-1,$B32,TRUE))*EXP(-(BD$1-$B32)*'Staffing Calculator'!$B$5/'Staffing Calculator'!$B$6))</f>
        <v/>
      </c>
      <c r="BE32" s="56">
        <f>IF(BE$1&lt;=$B32,0,1-_xlfn.POISSON.DIST(BE$1,$B32,FALSE)/(_xlfn.POISSON.DIST(BE$1,$B32,FALSE)+(1-$B32/BE$1)*_xlfn.POISSON.DIST(BE$1-1,$B32,TRUE))*EXP(-(BE$1-$B32)*'Staffing Calculator'!$B$5/'Staffing Calculator'!$B$6))</f>
        <v/>
      </c>
      <c r="BF32" s="56">
        <f>IF(BF$1&lt;=$B32,0,1-_xlfn.POISSON.DIST(BF$1,$B32,FALSE)/(_xlfn.POISSON.DIST(BF$1,$B32,FALSE)+(1-$B32/BF$1)*_xlfn.POISSON.DIST(BF$1-1,$B32,TRUE))*EXP(-(BF$1-$B32)*'Staffing Calculator'!$B$5/'Staffing Calculator'!$B$6))</f>
        <v/>
      </c>
      <c r="BG32" s="56">
        <f>IF(BG$1&lt;=$B32,0,1-_xlfn.POISSON.DIST(BG$1,$B32,FALSE)/(_xlfn.POISSON.DIST(BG$1,$B32,FALSE)+(1-$B32/BG$1)*_xlfn.POISSON.DIST(BG$1-1,$B32,TRUE))*EXP(-(BG$1-$B32)*'Staffing Calculator'!$B$5/'Staffing Calculator'!$B$6))</f>
        <v/>
      </c>
      <c r="BH32" s="56">
        <f>IF(BH$1&lt;=$B32,0,1-_xlfn.POISSON.DIST(BH$1,$B32,FALSE)/(_xlfn.POISSON.DIST(BH$1,$B32,FALSE)+(1-$B32/BH$1)*_xlfn.POISSON.DIST(BH$1-1,$B32,TRUE))*EXP(-(BH$1-$B32)*'Staffing Calculator'!$B$5/'Staffing Calculator'!$B$6))</f>
        <v/>
      </c>
      <c r="BI32" s="56">
        <f>IF(BI$1&lt;=$B32,0,1-_xlfn.POISSON.DIST(BI$1,$B32,FALSE)/(_xlfn.POISSON.DIST(BI$1,$B32,FALSE)+(1-$B32/BI$1)*_xlfn.POISSON.DIST(BI$1-1,$B32,TRUE))*EXP(-(BI$1-$B32)*'Staffing Calculator'!$B$5/'Staffing Calculator'!$B$6))</f>
        <v/>
      </c>
      <c r="BJ32" s="56">
        <f>IF(BJ$1&lt;=$B32,0,1-_xlfn.POISSON.DIST(BJ$1,$B32,FALSE)/(_xlfn.POISSON.DIST(BJ$1,$B32,FALSE)+(1-$B32/BJ$1)*_xlfn.POISSON.DIST(BJ$1-1,$B32,TRUE))*EXP(-(BJ$1-$B32)*'Staffing Calculator'!$B$5/'Staffing Calculator'!$B$6))</f>
        <v/>
      </c>
    </row>
    <row r="33">
      <c r="A33" s="54">
        <f>'Staffing Calculator'!A33</f>
        <v/>
      </c>
      <c r="B33" s="55">
        <f>'Staffing Calculator'!C33</f>
        <v/>
      </c>
      <c r="C33" s="56">
        <f>IF(C$1&lt;=$B33,0,1-_xlfn.POISSON.DIST(C$1,$B33,FALSE)/(_xlfn.POISSON.DIST(C$1,$B33,FALSE)+(1-$B33/C$1)*_xlfn.POISSON.DIST(C$1-1,$B33,TRUE))*EXP(-(C$1-$B33)*'Staffing Calculator'!$B$5/'Staffing Calculator'!$B$6))</f>
        <v/>
      </c>
      <c r="D33" s="56">
        <f>IF(D$1&lt;=$B33,0,1-_xlfn.POISSON.DIST(D$1,$B33,FALSE)/(_xlfn.POISSON.DIST(D$1,$B33,FALSE)+(1-$B33/D$1)*_xlfn.POISSON.DIST(D$1-1,$B33,TRUE))*EXP(-(D$1-$B33)*'Staffing Calculator'!$B$5/'Staffing Calculator'!$B$6))</f>
        <v/>
      </c>
      <c r="E33" s="56">
        <f>IF(E$1&lt;=$B33,0,1-_xlfn.POISSON.DIST(E$1,$B33,FALSE)/(_xlfn.POISSON.DIST(E$1,$B33,FALSE)+(1-$B33/E$1)*_xlfn.POISSON.DIST(E$1-1,$B33,TRUE))*EXP(-(E$1-$B33)*'Staffing Calculator'!$B$5/'Staffing Calculator'!$B$6))</f>
        <v/>
      </c>
      <c r="F33" s="56">
        <f>IF(F$1&lt;=$B33,0,1-_xlfn.POISSON.DIST(F$1,$B33,FALSE)/(_xlfn.POISSON.DIST(F$1,$B33,FALSE)+(1-$B33/F$1)*_xlfn.POISSON.DIST(F$1-1,$B33,TRUE))*EXP(-(F$1-$B33)*'Staffing Calculator'!$B$5/'Staffing Calculator'!$B$6))</f>
        <v/>
      </c>
      <c r="G33" s="56">
        <f>IF(G$1&lt;=$B33,0,1-_xlfn.POISSON.DIST(G$1,$B33,FALSE)/(_xlfn.POISSON.DIST(G$1,$B33,FALSE)+(1-$B33/G$1)*_xlfn.POISSON.DIST(G$1-1,$B33,TRUE))*EXP(-(G$1-$B33)*'Staffing Calculator'!$B$5/'Staffing Calculator'!$B$6))</f>
        <v/>
      </c>
      <c r="H33" s="56">
        <f>IF(H$1&lt;=$B33,0,1-_xlfn.POISSON.DIST(H$1,$B33,FALSE)/(_xlfn.POISSON.DIST(H$1,$B33,FALSE)+(1-$B33/H$1)*_xlfn.POISSON.DIST(H$1-1,$B33,TRUE))*EXP(-(H$1-$B33)*'Staffing Calculator'!$B$5/'Staffing Calculator'!$B$6))</f>
        <v/>
      </c>
      <c r="I33" s="56">
        <f>IF(I$1&lt;=$B33,0,1-_xlfn.POISSON.DIST(I$1,$B33,FALSE)/(_xlfn.POISSON.DIST(I$1,$B33,FALSE)+(1-$B33/I$1)*_xlfn.POISSON.DIST(I$1-1,$B33,TRUE))*EXP(-(I$1-$B33)*'Staffing Calculator'!$B$5/'Staffing Calculator'!$B$6))</f>
        <v/>
      </c>
      <c r="J33" s="56">
        <f>IF(J$1&lt;=$B33,0,1-_xlfn.POISSON.DIST(J$1,$B33,FALSE)/(_xlfn.POISSON.DIST(J$1,$B33,FALSE)+(1-$B33/J$1)*_xlfn.POISSON.DIST(J$1-1,$B33,TRUE))*EXP(-(J$1-$B33)*'Staffing Calculator'!$B$5/'Staffing Calculator'!$B$6))</f>
        <v/>
      </c>
      <c r="K33" s="56">
        <f>IF(K$1&lt;=$B33,0,1-_xlfn.POISSON.DIST(K$1,$B33,FALSE)/(_xlfn.POISSON.DIST(K$1,$B33,FALSE)+(1-$B33/K$1)*_xlfn.POISSON.DIST(K$1-1,$B33,TRUE))*EXP(-(K$1-$B33)*'Staffing Calculator'!$B$5/'Staffing Calculator'!$B$6))</f>
        <v/>
      </c>
      <c r="L33" s="56">
        <f>IF(L$1&lt;=$B33,0,1-_xlfn.POISSON.DIST(L$1,$B33,FALSE)/(_xlfn.POISSON.DIST(L$1,$B33,FALSE)+(1-$B33/L$1)*_xlfn.POISSON.DIST(L$1-1,$B33,TRUE))*EXP(-(L$1-$B33)*'Staffing Calculator'!$B$5/'Staffing Calculator'!$B$6))</f>
        <v/>
      </c>
      <c r="M33" s="56">
        <f>IF(M$1&lt;=$B33,0,1-_xlfn.POISSON.DIST(M$1,$B33,FALSE)/(_xlfn.POISSON.DIST(M$1,$B33,FALSE)+(1-$B33/M$1)*_xlfn.POISSON.DIST(M$1-1,$B33,TRUE))*EXP(-(M$1-$B33)*'Staffing Calculator'!$B$5/'Staffing Calculator'!$B$6))</f>
        <v/>
      </c>
      <c r="N33" s="56">
        <f>IF(N$1&lt;=$B33,0,1-_xlfn.POISSON.DIST(N$1,$B33,FALSE)/(_xlfn.POISSON.DIST(N$1,$B33,FALSE)+(1-$B33/N$1)*_xlfn.POISSON.DIST(N$1-1,$B33,TRUE))*EXP(-(N$1-$B33)*'Staffing Calculator'!$B$5/'Staffing Calculator'!$B$6))</f>
        <v/>
      </c>
      <c r="O33" s="56">
        <f>IF(O$1&lt;=$B33,0,1-_xlfn.POISSON.DIST(O$1,$B33,FALSE)/(_xlfn.POISSON.DIST(O$1,$B33,FALSE)+(1-$B33/O$1)*_xlfn.POISSON.DIST(O$1-1,$B33,TRUE))*EXP(-(O$1-$B33)*'Staffing Calculator'!$B$5/'Staffing Calculator'!$B$6))</f>
        <v/>
      </c>
      <c r="P33" s="56">
        <f>IF(P$1&lt;=$B33,0,1-_xlfn.POISSON.DIST(P$1,$B33,FALSE)/(_xlfn.POISSON.DIST(P$1,$B33,FALSE)+(1-$B33/P$1)*_xlfn.POISSON.DIST(P$1-1,$B33,TRUE))*EXP(-(P$1-$B33)*'Staffing Calculator'!$B$5/'Staffing Calculator'!$B$6))</f>
        <v/>
      </c>
      <c r="Q33" s="56">
        <f>IF(Q$1&lt;=$B33,0,1-_xlfn.POISSON.DIST(Q$1,$B33,FALSE)/(_xlfn.POISSON.DIST(Q$1,$B33,FALSE)+(1-$B33/Q$1)*_xlfn.POISSON.DIST(Q$1-1,$B33,TRUE))*EXP(-(Q$1-$B33)*'Staffing Calculator'!$B$5/'Staffing Calculator'!$B$6))</f>
        <v/>
      </c>
      <c r="R33" s="56">
        <f>IF(R$1&lt;=$B33,0,1-_xlfn.POISSON.DIST(R$1,$B33,FALSE)/(_xlfn.POISSON.DIST(R$1,$B33,FALSE)+(1-$B33/R$1)*_xlfn.POISSON.DIST(R$1-1,$B33,TRUE))*EXP(-(R$1-$B33)*'Staffing Calculator'!$B$5/'Staffing Calculator'!$B$6))</f>
        <v/>
      </c>
      <c r="S33" s="56">
        <f>IF(S$1&lt;=$B33,0,1-_xlfn.POISSON.DIST(S$1,$B33,FALSE)/(_xlfn.POISSON.DIST(S$1,$B33,FALSE)+(1-$B33/S$1)*_xlfn.POISSON.DIST(S$1-1,$B33,TRUE))*EXP(-(S$1-$B33)*'Staffing Calculator'!$B$5/'Staffing Calculator'!$B$6))</f>
        <v/>
      </c>
      <c r="T33" s="56">
        <f>IF(T$1&lt;=$B33,0,1-_xlfn.POISSON.DIST(T$1,$B33,FALSE)/(_xlfn.POISSON.DIST(T$1,$B33,FALSE)+(1-$B33/T$1)*_xlfn.POISSON.DIST(T$1-1,$B33,TRUE))*EXP(-(T$1-$B33)*'Staffing Calculator'!$B$5/'Staffing Calculator'!$B$6))</f>
        <v/>
      </c>
      <c r="U33" s="56">
        <f>IF(U$1&lt;=$B33,0,1-_xlfn.POISSON.DIST(U$1,$B33,FALSE)/(_xlfn.POISSON.DIST(U$1,$B33,FALSE)+(1-$B33/U$1)*_xlfn.POISSON.DIST(U$1-1,$B33,TRUE))*EXP(-(U$1-$B33)*'Staffing Calculator'!$B$5/'Staffing Calculator'!$B$6))</f>
        <v/>
      </c>
      <c r="V33" s="56">
        <f>IF(V$1&lt;=$B33,0,1-_xlfn.POISSON.DIST(V$1,$B33,FALSE)/(_xlfn.POISSON.DIST(V$1,$B33,FALSE)+(1-$B33/V$1)*_xlfn.POISSON.DIST(V$1-1,$B33,TRUE))*EXP(-(V$1-$B33)*'Staffing Calculator'!$B$5/'Staffing Calculator'!$B$6))</f>
        <v/>
      </c>
      <c r="W33" s="56">
        <f>IF(W$1&lt;=$B33,0,1-_xlfn.POISSON.DIST(W$1,$B33,FALSE)/(_xlfn.POISSON.DIST(W$1,$B33,FALSE)+(1-$B33/W$1)*_xlfn.POISSON.DIST(W$1-1,$B33,TRUE))*EXP(-(W$1-$B33)*'Staffing Calculator'!$B$5/'Staffing Calculator'!$B$6))</f>
        <v/>
      </c>
      <c r="X33" s="56">
        <f>IF(X$1&lt;=$B33,0,1-_xlfn.POISSON.DIST(X$1,$B33,FALSE)/(_xlfn.POISSON.DIST(X$1,$B33,FALSE)+(1-$B33/X$1)*_xlfn.POISSON.DIST(X$1-1,$B33,TRUE))*EXP(-(X$1-$B33)*'Staffing Calculator'!$B$5/'Staffing Calculator'!$B$6))</f>
        <v/>
      </c>
      <c r="Y33" s="56">
        <f>IF(Y$1&lt;=$B33,0,1-_xlfn.POISSON.DIST(Y$1,$B33,FALSE)/(_xlfn.POISSON.DIST(Y$1,$B33,FALSE)+(1-$B33/Y$1)*_xlfn.POISSON.DIST(Y$1-1,$B33,TRUE))*EXP(-(Y$1-$B33)*'Staffing Calculator'!$B$5/'Staffing Calculator'!$B$6))</f>
        <v/>
      </c>
      <c r="Z33" s="56">
        <f>IF(Z$1&lt;=$B33,0,1-_xlfn.POISSON.DIST(Z$1,$B33,FALSE)/(_xlfn.POISSON.DIST(Z$1,$B33,FALSE)+(1-$B33/Z$1)*_xlfn.POISSON.DIST(Z$1-1,$B33,TRUE))*EXP(-(Z$1-$B33)*'Staffing Calculator'!$B$5/'Staffing Calculator'!$B$6))</f>
        <v/>
      </c>
      <c r="AA33" s="56">
        <f>IF(AA$1&lt;=$B33,0,1-_xlfn.POISSON.DIST(AA$1,$B33,FALSE)/(_xlfn.POISSON.DIST(AA$1,$B33,FALSE)+(1-$B33/AA$1)*_xlfn.POISSON.DIST(AA$1-1,$B33,TRUE))*EXP(-(AA$1-$B33)*'Staffing Calculator'!$B$5/'Staffing Calculator'!$B$6))</f>
        <v/>
      </c>
      <c r="AB33" s="56">
        <f>IF(AB$1&lt;=$B33,0,1-_xlfn.POISSON.DIST(AB$1,$B33,FALSE)/(_xlfn.POISSON.DIST(AB$1,$B33,FALSE)+(1-$B33/AB$1)*_xlfn.POISSON.DIST(AB$1-1,$B33,TRUE))*EXP(-(AB$1-$B33)*'Staffing Calculator'!$B$5/'Staffing Calculator'!$B$6))</f>
        <v/>
      </c>
      <c r="AC33" s="56">
        <f>IF(AC$1&lt;=$B33,0,1-_xlfn.POISSON.DIST(AC$1,$B33,FALSE)/(_xlfn.POISSON.DIST(AC$1,$B33,FALSE)+(1-$B33/AC$1)*_xlfn.POISSON.DIST(AC$1-1,$B33,TRUE))*EXP(-(AC$1-$B33)*'Staffing Calculator'!$B$5/'Staffing Calculator'!$B$6))</f>
        <v/>
      </c>
      <c r="AD33" s="56">
        <f>IF(AD$1&lt;=$B33,0,1-_xlfn.POISSON.DIST(AD$1,$B33,FALSE)/(_xlfn.POISSON.DIST(AD$1,$B33,FALSE)+(1-$B33/AD$1)*_xlfn.POISSON.DIST(AD$1-1,$B33,TRUE))*EXP(-(AD$1-$B33)*'Staffing Calculator'!$B$5/'Staffing Calculator'!$B$6))</f>
        <v/>
      </c>
      <c r="AE33" s="56">
        <f>IF(AE$1&lt;=$B33,0,1-_xlfn.POISSON.DIST(AE$1,$B33,FALSE)/(_xlfn.POISSON.DIST(AE$1,$B33,FALSE)+(1-$B33/AE$1)*_xlfn.POISSON.DIST(AE$1-1,$B33,TRUE))*EXP(-(AE$1-$B33)*'Staffing Calculator'!$B$5/'Staffing Calculator'!$B$6))</f>
        <v/>
      </c>
      <c r="AF33" s="56">
        <f>IF(AF$1&lt;=$B33,0,1-_xlfn.POISSON.DIST(AF$1,$B33,FALSE)/(_xlfn.POISSON.DIST(AF$1,$B33,FALSE)+(1-$B33/AF$1)*_xlfn.POISSON.DIST(AF$1-1,$B33,TRUE))*EXP(-(AF$1-$B33)*'Staffing Calculator'!$B$5/'Staffing Calculator'!$B$6))</f>
        <v/>
      </c>
      <c r="AG33" s="56">
        <f>IF(AG$1&lt;=$B33,0,1-_xlfn.POISSON.DIST(AG$1,$B33,FALSE)/(_xlfn.POISSON.DIST(AG$1,$B33,FALSE)+(1-$B33/AG$1)*_xlfn.POISSON.DIST(AG$1-1,$B33,TRUE))*EXP(-(AG$1-$B33)*'Staffing Calculator'!$B$5/'Staffing Calculator'!$B$6))</f>
        <v/>
      </c>
      <c r="AH33" s="56">
        <f>IF(AH$1&lt;=$B33,0,1-_xlfn.POISSON.DIST(AH$1,$B33,FALSE)/(_xlfn.POISSON.DIST(AH$1,$B33,FALSE)+(1-$B33/AH$1)*_xlfn.POISSON.DIST(AH$1-1,$B33,TRUE))*EXP(-(AH$1-$B33)*'Staffing Calculator'!$B$5/'Staffing Calculator'!$B$6))</f>
        <v/>
      </c>
      <c r="AI33" s="56">
        <f>IF(AI$1&lt;=$B33,0,1-_xlfn.POISSON.DIST(AI$1,$B33,FALSE)/(_xlfn.POISSON.DIST(AI$1,$B33,FALSE)+(1-$B33/AI$1)*_xlfn.POISSON.DIST(AI$1-1,$B33,TRUE))*EXP(-(AI$1-$B33)*'Staffing Calculator'!$B$5/'Staffing Calculator'!$B$6))</f>
        <v/>
      </c>
      <c r="AJ33" s="56">
        <f>IF(AJ$1&lt;=$B33,0,1-_xlfn.POISSON.DIST(AJ$1,$B33,FALSE)/(_xlfn.POISSON.DIST(AJ$1,$B33,FALSE)+(1-$B33/AJ$1)*_xlfn.POISSON.DIST(AJ$1-1,$B33,TRUE))*EXP(-(AJ$1-$B33)*'Staffing Calculator'!$B$5/'Staffing Calculator'!$B$6))</f>
        <v/>
      </c>
      <c r="AK33" s="56">
        <f>IF(AK$1&lt;=$B33,0,1-_xlfn.POISSON.DIST(AK$1,$B33,FALSE)/(_xlfn.POISSON.DIST(AK$1,$B33,FALSE)+(1-$B33/AK$1)*_xlfn.POISSON.DIST(AK$1-1,$B33,TRUE))*EXP(-(AK$1-$B33)*'Staffing Calculator'!$B$5/'Staffing Calculator'!$B$6))</f>
        <v/>
      </c>
      <c r="AL33" s="56">
        <f>IF(AL$1&lt;=$B33,0,1-_xlfn.POISSON.DIST(AL$1,$B33,FALSE)/(_xlfn.POISSON.DIST(AL$1,$B33,FALSE)+(1-$B33/AL$1)*_xlfn.POISSON.DIST(AL$1-1,$B33,TRUE))*EXP(-(AL$1-$B33)*'Staffing Calculator'!$B$5/'Staffing Calculator'!$B$6))</f>
        <v/>
      </c>
      <c r="AM33" s="56">
        <f>IF(AM$1&lt;=$B33,0,1-_xlfn.POISSON.DIST(AM$1,$B33,FALSE)/(_xlfn.POISSON.DIST(AM$1,$B33,FALSE)+(1-$B33/AM$1)*_xlfn.POISSON.DIST(AM$1-1,$B33,TRUE))*EXP(-(AM$1-$B33)*'Staffing Calculator'!$B$5/'Staffing Calculator'!$B$6))</f>
        <v/>
      </c>
      <c r="AN33" s="56">
        <f>IF(AN$1&lt;=$B33,0,1-_xlfn.POISSON.DIST(AN$1,$B33,FALSE)/(_xlfn.POISSON.DIST(AN$1,$B33,FALSE)+(1-$B33/AN$1)*_xlfn.POISSON.DIST(AN$1-1,$B33,TRUE))*EXP(-(AN$1-$B33)*'Staffing Calculator'!$B$5/'Staffing Calculator'!$B$6))</f>
        <v/>
      </c>
      <c r="AO33" s="56">
        <f>IF(AO$1&lt;=$B33,0,1-_xlfn.POISSON.DIST(AO$1,$B33,FALSE)/(_xlfn.POISSON.DIST(AO$1,$B33,FALSE)+(1-$B33/AO$1)*_xlfn.POISSON.DIST(AO$1-1,$B33,TRUE))*EXP(-(AO$1-$B33)*'Staffing Calculator'!$B$5/'Staffing Calculator'!$B$6))</f>
        <v/>
      </c>
      <c r="AP33" s="56">
        <f>IF(AP$1&lt;=$B33,0,1-_xlfn.POISSON.DIST(AP$1,$B33,FALSE)/(_xlfn.POISSON.DIST(AP$1,$B33,FALSE)+(1-$B33/AP$1)*_xlfn.POISSON.DIST(AP$1-1,$B33,TRUE))*EXP(-(AP$1-$B33)*'Staffing Calculator'!$B$5/'Staffing Calculator'!$B$6))</f>
        <v/>
      </c>
      <c r="AQ33" s="56">
        <f>IF(AQ$1&lt;=$B33,0,1-_xlfn.POISSON.DIST(AQ$1,$B33,FALSE)/(_xlfn.POISSON.DIST(AQ$1,$B33,FALSE)+(1-$B33/AQ$1)*_xlfn.POISSON.DIST(AQ$1-1,$B33,TRUE))*EXP(-(AQ$1-$B33)*'Staffing Calculator'!$B$5/'Staffing Calculator'!$B$6))</f>
        <v/>
      </c>
      <c r="AR33" s="56">
        <f>IF(AR$1&lt;=$B33,0,1-_xlfn.POISSON.DIST(AR$1,$B33,FALSE)/(_xlfn.POISSON.DIST(AR$1,$B33,FALSE)+(1-$B33/AR$1)*_xlfn.POISSON.DIST(AR$1-1,$B33,TRUE))*EXP(-(AR$1-$B33)*'Staffing Calculator'!$B$5/'Staffing Calculator'!$B$6))</f>
        <v/>
      </c>
      <c r="AS33" s="56">
        <f>IF(AS$1&lt;=$B33,0,1-_xlfn.POISSON.DIST(AS$1,$B33,FALSE)/(_xlfn.POISSON.DIST(AS$1,$B33,FALSE)+(1-$B33/AS$1)*_xlfn.POISSON.DIST(AS$1-1,$B33,TRUE))*EXP(-(AS$1-$B33)*'Staffing Calculator'!$B$5/'Staffing Calculator'!$B$6))</f>
        <v/>
      </c>
      <c r="AT33" s="56">
        <f>IF(AT$1&lt;=$B33,0,1-_xlfn.POISSON.DIST(AT$1,$B33,FALSE)/(_xlfn.POISSON.DIST(AT$1,$B33,FALSE)+(1-$B33/AT$1)*_xlfn.POISSON.DIST(AT$1-1,$B33,TRUE))*EXP(-(AT$1-$B33)*'Staffing Calculator'!$B$5/'Staffing Calculator'!$B$6))</f>
        <v/>
      </c>
      <c r="AU33" s="56">
        <f>IF(AU$1&lt;=$B33,0,1-_xlfn.POISSON.DIST(AU$1,$B33,FALSE)/(_xlfn.POISSON.DIST(AU$1,$B33,FALSE)+(1-$B33/AU$1)*_xlfn.POISSON.DIST(AU$1-1,$B33,TRUE))*EXP(-(AU$1-$B33)*'Staffing Calculator'!$B$5/'Staffing Calculator'!$B$6))</f>
        <v/>
      </c>
      <c r="AV33" s="56">
        <f>IF(AV$1&lt;=$B33,0,1-_xlfn.POISSON.DIST(AV$1,$B33,FALSE)/(_xlfn.POISSON.DIST(AV$1,$B33,FALSE)+(1-$B33/AV$1)*_xlfn.POISSON.DIST(AV$1-1,$B33,TRUE))*EXP(-(AV$1-$B33)*'Staffing Calculator'!$B$5/'Staffing Calculator'!$B$6))</f>
        <v/>
      </c>
      <c r="AW33" s="56">
        <f>IF(AW$1&lt;=$B33,0,1-_xlfn.POISSON.DIST(AW$1,$B33,FALSE)/(_xlfn.POISSON.DIST(AW$1,$B33,FALSE)+(1-$B33/AW$1)*_xlfn.POISSON.DIST(AW$1-1,$B33,TRUE))*EXP(-(AW$1-$B33)*'Staffing Calculator'!$B$5/'Staffing Calculator'!$B$6))</f>
        <v/>
      </c>
      <c r="AX33" s="56">
        <f>IF(AX$1&lt;=$B33,0,1-_xlfn.POISSON.DIST(AX$1,$B33,FALSE)/(_xlfn.POISSON.DIST(AX$1,$B33,FALSE)+(1-$B33/AX$1)*_xlfn.POISSON.DIST(AX$1-1,$B33,TRUE))*EXP(-(AX$1-$B33)*'Staffing Calculator'!$B$5/'Staffing Calculator'!$B$6))</f>
        <v/>
      </c>
      <c r="AY33" s="56">
        <f>IF(AY$1&lt;=$B33,0,1-_xlfn.POISSON.DIST(AY$1,$B33,FALSE)/(_xlfn.POISSON.DIST(AY$1,$B33,FALSE)+(1-$B33/AY$1)*_xlfn.POISSON.DIST(AY$1-1,$B33,TRUE))*EXP(-(AY$1-$B33)*'Staffing Calculator'!$B$5/'Staffing Calculator'!$B$6))</f>
        <v/>
      </c>
      <c r="AZ33" s="56">
        <f>IF(AZ$1&lt;=$B33,0,1-_xlfn.POISSON.DIST(AZ$1,$B33,FALSE)/(_xlfn.POISSON.DIST(AZ$1,$B33,FALSE)+(1-$B33/AZ$1)*_xlfn.POISSON.DIST(AZ$1-1,$B33,TRUE))*EXP(-(AZ$1-$B33)*'Staffing Calculator'!$B$5/'Staffing Calculator'!$B$6))</f>
        <v/>
      </c>
      <c r="BA33" s="56">
        <f>IF(BA$1&lt;=$B33,0,1-_xlfn.POISSON.DIST(BA$1,$B33,FALSE)/(_xlfn.POISSON.DIST(BA$1,$B33,FALSE)+(1-$B33/BA$1)*_xlfn.POISSON.DIST(BA$1-1,$B33,TRUE))*EXP(-(BA$1-$B33)*'Staffing Calculator'!$B$5/'Staffing Calculator'!$B$6))</f>
        <v/>
      </c>
      <c r="BB33" s="56">
        <f>IF(BB$1&lt;=$B33,0,1-_xlfn.POISSON.DIST(BB$1,$B33,FALSE)/(_xlfn.POISSON.DIST(BB$1,$B33,FALSE)+(1-$B33/BB$1)*_xlfn.POISSON.DIST(BB$1-1,$B33,TRUE))*EXP(-(BB$1-$B33)*'Staffing Calculator'!$B$5/'Staffing Calculator'!$B$6))</f>
        <v/>
      </c>
      <c r="BC33" s="56">
        <f>IF(BC$1&lt;=$B33,0,1-_xlfn.POISSON.DIST(BC$1,$B33,FALSE)/(_xlfn.POISSON.DIST(BC$1,$B33,FALSE)+(1-$B33/BC$1)*_xlfn.POISSON.DIST(BC$1-1,$B33,TRUE))*EXP(-(BC$1-$B33)*'Staffing Calculator'!$B$5/'Staffing Calculator'!$B$6))</f>
        <v/>
      </c>
      <c r="BD33" s="56">
        <f>IF(BD$1&lt;=$B33,0,1-_xlfn.POISSON.DIST(BD$1,$B33,FALSE)/(_xlfn.POISSON.DIST(BD$1,$B33,FALSE)+(1-$B33/BD$1)*_xlfn.POISSON.DIST(BD$1-1,$B33,TRUE))*EXP(-(BD$1-$B33)*'Staffing Calculator'!$B$5/'Staffing Calculator'!$B$6))</f>
        <v/>
      </c>
      <c r="BE33" s="56">
        <f>IF(BE$1&lt;=$B33,0,1-_xlfn.POISSON.DIST(BE$1,$B33,FALSE)/(_xlfn.POISSON.DIST(BE$1,$B33,FALSE)+(1-$B33/BE$1)*_xlfn.POISSON.DIST(BE$1-1,$B33,TRUE))*EXP(-(BE$1-$B33)*'Staffing Calculator'!$B$5/'Staffing Calculator'!$B$6))</f>
        <v/>
      </c>
      <c r="BF33" s="56">
        <f>IF(BF$1&lt;=$B33,0,1-_xlfn.POISSON.DIST(BF$1,$B33,FALSE)/(_xlfn.POISSON.DIST(BF$1,$B33,FALSE)+(1-$B33/BF$1)*_xlfn.POISSON.DIST(BF$1-1,$B33,TRUE))*EXP(-(BF$1-$B33)*'Staffing Calculator'!$B$5/'Staffing Calculator'!$B$6))</f>
        <v/>
      </c>
      <c r="BG33" s="56">
        <f>IF(BG$1&lt;=$B33,0,1-_xlfn.POISSON.DIST(BG$1,$B33,FALSE)/(_xlfn.POISSON.DIST(BG$1,$B33,FALSE)+(1-$B33/BG$1)*_xlfn.POISSON.DIST(BG$1-1,$B33,TRUE))*EXP(-(BG$1-$B33)*'Staffing Calculator'!$B$5/'Staffing Calculator'!$B$6))</f>
        <v/>
      </c>
      <c r="BH33" s="56">
        <f>IF(BH$1&lt;=$B33,0,1-_xlfn.POISSON.DIST(BH$1,$B33,FALSE)/(_xlfn.POISSON.DIST(BH$1,$B33,FALSE)+(1-$B33/BH$1)*_xlfn.POISSON.DIST(BH$1-1,$B33,TRUE))*EXP(-(BH$1-$B33)*'Staffing Calculator'!$B$5/'Staffing Calculator'!$B$6))</f>
        <v/>
      </c>
      <c r="BI33" s="56">
        <f>IF(BI$1&lt;=$B33,0,1-_xlfn.POISSON.DIST(BI$1,$B33,FALSE)/(_xlfn.POISSON.DIST(BI$1,$B33,FALSE)+(1-$B33/BI$1)*_xlfn.POISSON.DIST(BI$1-1,$B33,TRUE))*EXP(-(BI$1-$B33)*'Staffing Calculator'!$B$5/'Staffing Calculator'!$B$6))</f>
        <v/>
      </c>
      <c r="BJ33" s="56">
        <f>IF(BJ$1&lt;=$B33,0,1-_xlfn.POISSON.DIST(BJ$1,$B33,FALSE)/(_xlfn.POISSON.DIST(BJ$1,$B33,FALSE)+(1-$B33/BJ$1)*_xlfn.POISSON.DIST(BJ$1-1,$B33,TRUE))*EXP(-(BJ$1-$B33)*'Staffing Calculator'!$B$5/'Staffing Calculator'!$B$6))</f>
        <v/>
      </c>
    </row>
    <row r="34">
      <c r="A34" s="54">
        <f>'Staffing Calculator'!A34</f>
        <v/>
      </c>
      <c r="B34" s="55">
        <f>'Staffing Calculator'!C34</f>
        <v/>
      </c>
      <c r="C34" s="56">
        <f>IF(C$1&lt;=$B34,0,1-_xlfn.POISSON.DIST(C$1,$B34,FALSE)/(_xlfn.POISSON.DIST(C$1,$B34,FALSE)+(1-$B34/C$1)*_xlfn.POISSON.DIST(C$1-1,$B34,TRUE))*EXP(-(C$1-$B34)*'Staffing Calculator'!$B$5/'Staffing Calculator'!$B$6))</f>
        <v/>
      </c>
      <c r="D34" s="56">
        <f>IF(D$1&lt;=$B34,0,1-_xlfn.POISSON.DIST(D$1,$B34,FALSE)/(_xlfn.POISSON.DIST(D$1,$B34,FALSE)+(1-$B34/D$1)*_xlfn.POISSON.DIST(D$1-1,$B34,TRUE))*EXP(-(D$1-$B34)*'Staffing Calculator'!$B$5/'Staffing Calculator'!$B$6))</f>
        <v/>
      </c>
      <c r="E34" s="56">
        <f>IF(E$1&lt;=$B34,0,1-_xlfn.POISSON.DIST(E$1,$B34,FALSE)/(_xlfn.POISSON.DIST(E$1,$B34,FALSE)+(1-$B34/E$1)*_xlfn.POISSON.DIST(E$1-1,$B34,TRUE))*EXP(-(E$1-$B34)*'Staffing Calculator'!$B$5/'Staffing Calculator'!$B$6))</f>
        <v/>
      </c>
      <c r="F34" s="56">
        <f>IF(F$1&lt;=$B34,0,1-_xlfn.POISSON.DIST(F$1,$B34,FALSE)/(_xlfn.POISSON.DIST(F$1,$B34,FALSE)+(1-$B34/F$1)*_xlfn.POISSON.DIST(F$1-1,$B34,TRUE))*EXP(-(F$1-$B34)*'Staffing Calculator'!$B$5/'Staffing Calculator'!$B$6))</f>
        <v/>
      </c>
      <c r="G34" s="56">
        <f>IF(G$1&lt;=$B34,0,1-_xlfn.POISSON.DIST(G$1,$B34,FALSE)/(_xlfn.POISSON.DIST(G$1,$B34,FALSE)+(1-$B34/G$1)*_xlfn.POISSON.DIST(G$1-1,$B34,TRUE))*EXP(-(G$1-$B34)*'Staffing Calculator'!$B$5/'Staffing Calculator'!$B$6))</f>
        <v/>
      </c>
      <c r="H34" s="56">
        <f>IF(H$1&lt;=$B34,0,1-_xlfn.POISSON.DIST(H$1,$B34,FALSE)/(_xlfn.POISSON.DIST(H$1,$B34,FALSE)+(1-$B34/H$1)*_xlfn.POISSON.DIST(H$1-1,$B34,TRUE))*EXP(-(H$1-$B34)*'Staffing Calculator'!$B$5/'Staffing Calculator'!$B$6))</f>
        <v/>
      </c>
      <c r="I34" s="56">
        <f>IF(I$1&lt;=$B34,0,1-_xlfn.POISSON.DIST(I$1,$B34,FALSE)/(_xlfn.POISSON.DIST(I$1,$B34,FALSE)+(1-$B34/I$1)*_xlfn.POISSON.DIST(I$1-1,$B34,TRUE))*EXP(-(I$1-$B34)*'Staffing Calculator'!$B$5/'Staffing Calculator'!$B$6))</f>
        <v/>
      </c>
      <c r="J34" s="56">
        <f>IF(J$1&lt;=$B34,0,1-_xlfn.POISSON.DIST(J$1,$B34,FALSE)/(_xlfn.POISSON.DIST(J$1,$B34,FALSE)+(1-$B34/J$1)*_xlfn.POISSON.DIST(J$1-1,$B34,TRUE))*EXP(-(J$1-$B34)*'Staffing Calculator'!$B$5/'Staffing Calculator'!$B$6))</f>
        <v/>
      </c>
      <c r="K34" s="56">
        <f>IF(K$1&lt;=$B34,0,1-_xlfn.POISSON.DIST(K$1,$B34,FALSE)/(_xlfn.POISSON.DIST(K$1,$B34,FALSE)+(1-$B34/K$1)*_xlfn.POISSON.DIST(K$1-1,$B34,TRUE))*EXP(-(K$1-$B34)*'Staffing Calculator'!$B$5/'Staffing Calculator'!$B$6))</f>
        <v/>
      </c>
      <c r="L34" s="56">
        <f>IF(L$1&lt;=$B34,0,1-_xlfn.POISSON.DIST(L$1,$B34,FALSE)/(_xlfn.POISSON.DIST(L$1,$B34,FALSE)+(1-$B34/L$1)*_xlfn.POISSON.DIST(L$1-1,$B34,TRUE))*EXP(-(L$1-$B34)*'Staffing Calculator'!$B$5/'Staffing Calculator'!$B$6))</f>
        <v/>
      </c>
      <c r="M34" s="56">
        <f>IF(M$1&lt;=$B34,0,1-_xlfn.POISSON.DIST(M$1,$B34,FALSE)/(_xlfn.POISSON.DIST(M$1,$B34,FALSE)+(1-$B34/M$1)*_xlfn.POISSON.DIST(M$1-1,$B34,TRUE))*EXP(-(M$1-$B34)*'Staffing Calculator'!$B$5/'Staffing Calculator'!$B$6))</f>
        <v/>
      </c>
      <c r="N34" s="56">
        <f>IF(N$1&lt;=$B34,0,1-_xlfn.POISSON.DIST(N$1,$B34,FALSE)/(_xlfn.POISSON.DIST(N$1,$B34,FALSE)+(1-$B34/N$1)*_xlfn.POISSON.DIST(N$1-1,$B34,TRUE))*EXP(-(N$1-$B34)*'Staffing Calculator'!$B$5/'Staffing Calculator'!$B$6))</f>
        <v/>
      </c>
      <c r="O34" s="56">
        <f>IF(O$1&lt;=$B34,0,1-_xlfn.POISSON.DIST(O$1,$B34,FALSE)/(_xlfn.POISSON.DIST(O$1,$B34,FALSE)+(1-$B34/O$1)*_xlfn.POISSON.DIST(O$1-1,$B34,TRUE))*EXP(-(O$1-$B34)*'Staffing Calculator'!$B$5/'Staffing Calculator'!$B$6))</f>
        <v/>
      </c>
      <c r="P34" s="56">
        <f>IF(P$1&lt;=$B34,0,1-_xlfn.POISSON.DIST(P$1,$B34,FALSE)/(_xlfn.POISSON.DIST(P$1,$B34,FALSE)+(1-$B34/P$1)*_xlfn.POISSON.DIST(P$1-1,$B34,TRUE))*EXP(-(P$1-$B34)*'Staffing Calculator'!$B$5/'Staffing Calculator'!$B$6))</f>
        <v/>
      </c>
      <c r="Q34" s="56">
        <f>IF(Q$1&lt;=$B34,0,1-_xlfn.POISSON.DIST(Q$1,$B34,FALSE)/(_xlfn.POISSON.DIST(Q$1,$B34,FALSE)+(1-$B34/Q$1)*_xlfn.POISSON.DIST(Q$1-1,$B34,TRUE))*EXP(-(Q$1-$B34)*'Staffing Calculator'!$B$5/'Staffing Calculator'!$B$6))</f>
        <v/>
      </c>
      <c r="R34" s="56">
        <f>IF(R$1&lt;=$B34,0,1-_xlfn.POISSON.DIST(R$1,$B34,FALSE)/(_xlfn.POISSON.DIST(R$1,$B34,FALSE)+(1-$B34/R$1)*_xlfn.POISSON.DIST(R$1-1,$B34,TRUE))*EXP(-(R$1-$B34)*'Staffing Calculator'!$B$5/'Staffing Calculator'!$B$6))</f>
        <v/>
      </c>
      <c r="S34" s="56">
        <f>IF(S$1&lt;=$B34,0,1-_xlfn.POISSON.DIST(S$1,$B34,FALSE)/(_xlfn.POISSON.DIST(S$1,$B34,FALSE)+(1-$B34/S$1)*_xlfn.POISSON.DIST(S$1-1,$B34,TRUE))*EXP(-(S$1-$B34)*'Staffing Calculator'!$B$5/'Staffing Calculator'!$B$6))</f>
        <v/>
      </c>
      <c r="T34" s="56">
        <f>IF(T$1&lt;=$B34,0,1-_xlfn.POISSON.DIST(T$1,$B34,FALSE)/(_xlfn.POISSON.DIST(T$1,$B34,FALSE)+(1-$B34/T$1)*_xlfn.POISSON.DIST(T$1-1,$B34,TRUE))*EXP(-(T$1-$B34)*'Staffing Calculator'!$B$5/'Staffing Calculator'!$B$6))</f>
        <v/>
      </c>
      <c r="U34" s="56">
        <f>IF(U$1&lt;=$B34,0,1-_xlfn.POISSON.DIST(U$1,$B34,FALSE)/(_xlfn.POISSON.DIST(U$1,$B34,FALSE)+(1-$B34/U$1)*_xlfn.POISSON.DIST(U$1-1,$B34,TRUE))*EXP(-(U$1-$B34)*'Staffing Calculator'!$B$5/'Staffing Calculator'!$B$6))</f>
        <v/>
      </c>
      <c r="V34" s="56">
        <f>IF(V$1&lt;=$B34,0,1-_xlfn.POISSON.DIST(V$1,$B34,FALSE)/(_xlfn.POISSON.DIST(V$1,$B34,FALSE)+(1-$B34/V$1)*_xlfn.POISSON.DIST(V$1-1,$B34,TRUE))*EXP(-(V$1-$B34)*'Staffing Calculator'!$B$5/'Staffing Calculator'!$B$6))</f>
        <v/>
      </c>
      <c r="W34" s="56">
        <f>IF(W$1&lt;=$B34,0,1-_xlfn.POISSON.DIST(W$1,$B34,FALSE)/(_xlfn.POISSON.DIST(W$1,$B34,FALSE)+(1-$B34/W$1)*_xlfn.POISSON.DIST(W$1-1,$B34,TRUE))*EXP(-(W$1-$B34)*'Staffing Calculator'!$B$5/'Staffing Calculator'!$B$6))</f>
        <v/>
      </c>
      <c r="X34" s="56">
        <f>IF(X$1&lt;=$B34,0,1-_xlfn.POISSON.DIST(X$1,$B34,FALSE)/(_xlfn.POISSON.DIST(X$1,$B34,FALSE)+(1-$B34/X$1)*_xlfn.POISSON.DIST(X$1-1,$B34,TRUE))*EXP(-(X$1-$B34)*'Staffing Calculator'!$B$5/'Staffing Calculator'!$B$6))</f>
        <v/>
      </c>
      <c r="Y34" s="56">
        <f>IF(Y$1&lt;=$B34,0,1-_xlfn.POISSON.DIST(Y$1,$B34,FALSE)/(_xlfn.POISSON.DIST(Y$1,$B34,FALSE)+(1-$B34/Y$1)*_xlfn.POISSON.DIST(Y$1-1,$B34,TRUE))*EXP(-(Y$1-$B34)*'Staffing Calculator'!$B$5/'Staffing Calculator'!$B$6))</f>
        <v/>
      </c>
      <c r="Z34" s="56">
        <f>IF(Z$1&lt;=$B34,0,1-_xlfn.POISSON.DIST(Z$1,$B34,FALSE)/(_xlfn.POISSON.DIST(Z$1,$B34,FALSE)+(1-$B34/Z$1)*_xlfn.POISSON.DIST(Z$1-1,$B34,TRUE))*EXP(-(Z$1-$B34)*'Staffing Calculator'!$B$5/'Staffing Calculator'!$B$6))</f>
        <v/>
      </c>
      <c r="AA34" s="56">
        <f>IF(AA$1&lt;=$B34,0,1-_xlfn.POISSON.DIST(AA$1,$B34,FALSE)/(_xlfn.POISSON.DIST(AA$1,$B34,FALSE)+(1-$B34/AA$1)*_xlfn.POISSON.DIST(AA$1-1,$B34,TRUE))*EXP(-(AA$1-$B34)*'Staffing Calculator'!$B$5/'Staffing Calculator'!$B$6))</f>
        <v/>
      </c>
      <c r="AB34" s="56">
        <f>IF(AB$1&lt;=$B34,0,1-_xlfn.POISSON.DIST(AB$1,$B34,FALSE)/(_xlfn.POISSON.DIST(AB$1,$B34,FALSE)+(1-$B34/AB$1)*_xlfn.POISSON.DIST(AB$1-1,$B34,TRUE))*EXP(-(AB$1-$B34)*'Staffing Calculator'!$B$5/'Staffing Calculator'!$B$6))</f>
        <v/>
      </c>
      <c r="AC34" s="56">
        <f>IF(AC$1&lt;=$B34,0,1-_xlfn.POISSON.DIST(AC$1,$B34,FALSE)/(_xlfn.POISSON.DIST(AC$1,$B34,FALSE)+(1-$B34/AC$1)*_xlfn.POISSON.DIST(AC$1-1,$B34,TRUE))*EXP(-(AC$1-$B34)*'Staffing Calculator'!$B$5/'Staffing Calculator'!$B$6))</f>
        <v/>
      </c>
      <c r="AD34" s="56">
        <f>IF(AD$1&lt;=$B34,0,1-_xlfn.POISSON.DIST(AD$1,$B34,FALSE)/(_xlfn.POISSON.DIST(AD$1,$B34,FALSE)+(1-$B34/AD$1)*_xlfn.POISSON.DIST(AD$1-1,$B34,TRUE))*EXP(-(AD$1-$B34)*'Staffing Calculator'!$B$5/'Staffing Calculator'!$B$6))</f>
        <v/>
      </c>
      <c r="AE34" s="56">
        <f>IF(AE$1&lt;=$B34,0,1-_xlfn.POISSON.DIST(AE$1,$B34,FALSE)/(_xlfn.POISSON.DIST(AE$1,$B34,FALSE)+(1-$B34/AE$1)*_xlfn.POISSON.DIST(AE$1-1,$B34,TRUE))*EXP(-(AE$1-$B34)*'Staffing Calculator'!$B$5/'Staffing Calculator'!$B$6))</f>
        <v/>
      </c>
      <c r="AF34" s="56">
        <f>IF(AF$1&lt;=$B34,0,1-_xlfn.POISSON.DIST(AF$1,$B34,FALSE)/(_xlfn.POISSON.DIST(AF$1,$B34,FALSE)+(1-$B34/AF$1)*_xlfn.POISSON.DIST(AF$1-1,$B34,TRUE))*EXP(-(AF$1-$B34)*'Staffing Calculator'!$B$5/'Staffing Calculator'!$B$6))</f>
        <v/>
      </c>
      <c r="AG34" s="56">
        <f>IF(AG$1&lt;=$B34,0,1-_xlfn.POISSON.DIST(AG$1,$B34,FALSE)/(_xlfn.POISSON.DIST(AG$1,$B34,FALSE)+(1-$B34/AG$1)*_xlfn.POISSON.DIST(AG$1-1,$B34,TRUE))*EXP(-(AG$1-$B34)*'Staffing Calculator'!$B$5/'Staffing Calculator'!$B$6))</f>
        <v/>
      </c>
      <c r="AH34" s="56">
        <f>IF(AH$1&lt;=$B34,0,1-_xlfn.POISSON.DIST(AH$1,$B34,FALSE)/(_xlfn.POISSON.DIST(AH$1,$B34,FALSE)+(1-$B34/AH$1)*_xlfn.POISSON.DIST(AH$1-1,$B34,TRUE))*EXP(-(AH$1-$B34)*'Staffing Calculator'!$B$5/'Staffing Calculator'!$B$6))</f>
        <v/>
      </c>
      <c r="AI34" s="56">
        <f>IF(AI$1&lt;=$B34,0,1-_xlfn.POISSON.DIST(AI$1,$B34,FALSE)/(_xlfn.POISSON.DIST(AI$1,$B34,FALSE)+(1-$B34/AI$1)*_xlfn.POISSON.DIST(AI$1-1,$B34,TRUE))*EXP(-(AI$1-$B34)*'Staffing Calculator'!$B$5/'Staffing Calculator'!$B$6))</f>
        <v/>
      </c>
      <c r="AJ34" s="56">
        <f>IF(AJ$1&lt;=$B34,0,1-_xlfn.POISSON.DIST(AJ$1,$B34,FALSE)/(_xlfn.POISSON.DIST(AJ$1,$B34,FALSE)+(1-$B34/AJ$1)*_xlfn.POISSON.DIST(AJ$1-1,$B34,TRUE))*EXP(-(AJ$1-$B34)*'Staffing Calculator'!$B$5/'Staffing Calculator'!$B$6))</f>
        <v/>
      </c>
      <c r="AK34" s="56">
        <f>IF(AK$1&lt;=$B34,0,1-_xlfn.POISSON.DIST(AK$1,$B34,FALSE)/(_xlfn.POISSON.DIST(AK$1,$B34,FALSE)+(1-$B34/AK$1)*_xlfn.POISSON.DIST(AK$1-1,$B34,TRUE))*EXP(-(AK$1-$B34)*'Staffing Calculator'!$B$5/'Staffing Calculator'!$B$6))</f>
        <v/>
      </c>
      <c r="AL34" s="56">
        <f>IF(AL$1&lt;=$B34,0,1-_xlfn.POISSON.DIST(AL$1,$B34,FALSE)/(_xlfn.POISSON.DIST(AL$1,$B34,FALSE)+(1-$B34/AL$1)*_xlfn.POISSON.DIST(AL$1-1,$B34,TRUE))*EXP(-(AL$1-$B34)*'Staffing Calculator'!$B$5/'Staffing Calculator'!$B$6))</f>
        <v/>
      </c>
      <c r="AM34" s="56">
        <f>IF(AM$1&lt;=$B34,0,1-_xlfn.POISSON.DIST(AM$1,$B34,FALSE)/(_xlfn.POISSON.DIST(AM$1,$B34,FALSE)+(1-$B34/AM$1)*_xlfn.POISSON.DIST(AM$1-1,$B34,TRUE))*EXP(-(AM$1-$B34)*'Staffing Calculator'!$B$5/'Staffing Calculator'!$B$6))</f>
        <v/>
      </c>
      <c r="AN34" s="56">
        <f>IF(AN$1&lt;=$B34,0,1-_xlfn.POISSON.DIST(AN$1,$B34,FALSE)/(_xlfn.POISSON.DIST(AN$1,$B34,FALSE)+(1-$B34/AN$1)*_xlfn.POISSON.DIST(AN$1-1,$B34,TRUE))*EXP(-(AN$1-$B34)*'Staffing Calculator'!$B$5/'Staffing Calculator'!$B$6))</f>
        <v/>
      </c>
      <c r="AO34" s="56">
        <f>IF(AO$1&lt;=$B34,0,1-_xlfn.POISSON.DIST(AO$1,$B34,FALSE)/(_xlfn.POISSON.DIST(AO$1,$B34,FALSE)+(1-$B34/AO$1)*_xlfn.POISSON.DIST(AO$1-1,$B34,TRUE))*EXP(-(AO$1-$B34)*'Staffing Calculator'!$B$5/'Staffing Calculator'!$B$6))</f>
        <v/>
      </c>
      <c r="AP34" s="56">
        <f>IF(AP$1&lt;=$B34,0,1-_xlfn.POISSON.DIST(AP$1,$B34,FALSE)/(_xlfn.POISSON.DIST(AP$1,$B34,FALSE)+(1-$B34/AP$1)*_xlfn.POISSON.DIST(AP$1-1,$B34,TRUE))*EXP(-(AP$1-$B34)*'Staffing Calculator'!$B$5/'Staffing Calculator'!$B$6))</f>
        <v/>
      </c>
      <c r="AQ34" s="56">
        <f>IF(AQ$1&lt;=$B34,0,1-_xlfn.POISSON.DIST(AQ$1,$B34,FALSE)/(_xlfn.POISSON.DIST(AQ$1,$B34,FALSE)+(1-$B34/AQ$1)*_xlfn.POISSON.DIST(AQ$1-1,$B34,TRUE))*EXP(-(AQ$1-$B34)*'Staffing Calculator'!$B$5/'Staffing Calculator'!$B$6))</f>
        <v/>
      </c>
      <c r="AR34" s="56">
        <f>IF(AR$1&lt;=$B34,0,1-_xlfn.POISSON.DIST(AR$1,$B34,FALSE)/(_xlfn.POISSON.DIST(AR$1,$B34,FALSE)+(1-$B34/AR$1)*_xlfn.POISSON.DIST(AR$1-1,$B34,TRUE))*EXP(-(AR$1-$B34)*'Staffing Calculator'!$B$5/'Staffing Calculator'!$B$6))</f>
        <v/>
      </c>
      <c r="AS34" s="56">
        <f>IF(AS$1&lt;=$B34,0,1-_xlfn.POISSON.DIST(AS$1,$B34,FALSE)/(_xlfn.POISSON.DIST(AS$1,$B34,FALSE)+(1-$B34/AS$1)*_xlfn.POISSON.DIST(AS$1-1,$B34,TRUE))*EXP(-(AS$1-$B34)*'Staffing Calculator'!$B$5/'Staffing Calculator'!$B$6))</f>
        <v/>
      </c>
      <c r="AT34" s="56">
        <f>IF(AT$1&lt;=$B34,0,1-_xlfn.POISSON.DIST(AT$1,$B34,FALSE)/(_xlfn.POISSON.DIST(AT$1,$B34,FALSE)+(1-$B34/AT$1)*_xlfn.POISSON.DIST(AT$1-1,$B34,TRUE))*EXP(-(AT$1-$B34)*'Staffing Calculator'!$B$5/'Staffing Calculator'!$B$6))</f>
        <v/>
      </c>
      <c r="AU34" s="56">
        <f>IF(AU$1&lt;=$B34,0,1-_xlfn.POISSON.DIST(AU$1,$B34,FALSE)/(_xlfn.POISSON.DIST(AU$1,$B34,FALSE)+(1-$B34/AU$1)*_xlfn.POISSON.DIST(AU$1-1,$B34,TRUE))*EXP(-(AU$1-$B34)*'Staffing Calculator'!$B$5/'Staffing Calculator'!$B$6))</f>
        <v/>
      </c>
      <c r="AV34" s="56">
        <f>IF(AV$1&lt;=$B34,0,1-_xlfn.POISSON.DIST(AV$1,$B34,FALSE)/(_xlfn.POISSON.DIST(AV$1,$B34,FALSE)+(1-$B34/AV$1)*_xlfn.POISSON.DIST(AV$1-1,$B34,TRUE))*EXP(-(AV$1-$B34)*'Staffing Calculator'!$B$5/'Staffing Calculator'!$B$6))</f>
        <v/>
      </c>
      <c r="AW34" s="56">
        <f>IF(AW$1&lt;=$B34,0,1-_xlfn.POISSON.DIST(AW$1,$B34,FALSE)/(_xlfn.POISSON.DIST(AW$1,$B34,FALSE)+(1-$B34/AW$1)*_xlfn.POISSON.DIST(AW$1-1,$B34,TRUE))*EXP(-(AW$1-$B34)*'Staffing Calculator'!$B$5/'Staffing Calculator'!$B$6))</f>
        <v/>
      </c>
      <c r="AX34" s="56">
        <f>IF(AX$1&lt;=$B34,0,1-_xlfn.POISSON.DIST(AX$1,$B34,FALSE)/(_xlfn.POISSON.DIST(AX$1,$B34,FALSE)+(1-$B34/AX$1)*_xlfn.POISSON.DIST(AX$1-1,$B34,TRUE))*EXP(-(AX$1-$B34)*'Staffing Calculator'!$B$5/'Staffing Calculator'!$B$6))</f>
        <v/>
      </c>
      <c r="AY34" s="56">
        <f>IF(AY$1&lt;=$B34,0,1-_xlfn.POISSON.DIST(AY$1,$B34,FALSE)/(_xlfn.POISSON.DIST(AY$1,$B34,FALSE)+(1-$B34/AY$1)*_xlfn.POISSON.DIST(AY$1-1,$B34,TRUE))*EXP(-(AY$1-$B34)*'Staffing Calculator'!$B$5/'Staffing Calculator'!$B$6))</f>
        <v/>
      </c>
      <c r="AZ34" s="56">
        <f>IF(AZ$1&lt;=$B34,0,1-_xlfn.POISSON.DIST(AZ$1,$B34,FALSE)/(_xlfn.POISSON.DIST(AZ$1,$B34,FALSE)+(1-$B34/AZ$1)*_xlfn.POISSON.DIST(AZ$1-1,$B34,TRUE))*EXP(-(AZ$1-$B34)*'Staffing Calculator'!$B$5/'Staffing Calculator'!$B$6))</f>
        <v/>
      </c>
      <c r="BA34" s="56">
        <f>IF(BA$1&lt;=$B34,0,1-_xlfn.POISSON.DIST(BA$1,$B34,FALSE)/(_xlfn.POISSON.DIST(BA$1,$B34,FALSE)+(1-$B34/BA$1)*_xlfn.POISSON.DIST(BA$1-1,$B34,TRUE))*EXP(-(BA$1-$B34)*'Staffing Calculator'!$B$5/'Staffing Calculator'!$B$6))</f>
        <v/>
      </c>
      <c r="BB34" s="56">
        <f>IF(BB$1&lt;=$B34,0,1-_xlfn.POISSON.DIST(BB$1,$B34,FALSE)/(_xlfn.POISSON.DIST(BB$1,$B34,FALSE)+(1-$B34/BB$1)*_xlfn.POISSON.DIST(BB$1-1,$B34,TRUE))*EXP(-(BB$1-$B34)*'Staffing Calculator'!$B$5/'Staffing Calculator'!$B$6))</f>
        <v/>
      </c>
      <c r="BC34" s="56">
        <f>IF(BC$1&lt;=$B34,0,1-_xlfn.POISSON.DIST(BC$1,$B34,FALSE)/(_xlfn.POISSON.DIST(BC$1,$B34,FALSE)+(1-$B34/BC$1)*_xlfn.POISSON.DIST(BC$1-1,$B34,TRUE))*EXP(-(BC$1-$B34)*'Staffing Calculator'!$B$5/'Staffing Calculator'!$B$6))</f>
        <v/>
      </c>
      <c r="BD34" s="56">
        <f>IF(BD$1&lt;=$B34,0,1-_xlfn.POISSON.DIST(BD$1,$B34,FALSE)/(_xlfn.POISSON.DIST(BD$1,$B34,FALSE)+(1-$B34/BD$1)*_xlfn.POISSON.DIST(BD$1-1,$B34,TRUE))*EXP(-(BD$1-$B34)*'Staffing Calculator'!$B$5/'Staffing Calculator'!$B$6))</f>
        <v/>
      </c>
      <c r="BE34" s="56">
        <f>IF(BE$1&lt;=$B34,0,1-_xlfn.POISSON.DIST(BE$1,$B34,FALSE)/(_xlfn.POISSON.DIST(BE$1,$B34,FALSE)+(1-$B34/BE$1)*_xlfn.POISSON.DIST(BE$1-1,$B34,TRUE))*EXP(-(BE$1-$B34)*'Staffing Calculator'!$B$5/'Staffing Calculator'!$B$6))</f>
        <v/>
      </c>
      <c r="BF34" s="56">
        <f>IF(BF$1&lt;=$B34,0,1-_xlfn.POISSON.DIST(BF$1,$B34,FALSE)/(_xlfn.POISSON.DIST(BF$1,$B34,FALSE)+(1-$B34/BF$1)*_xlfn.POISSON.DIST(BF$1-1,$B34,TRUE))*EXP(-(BF$1-$B34)*'Staffing Calculator'!$B$5/'Staffing Calculator'!$B$6))</f>
        <v/>
      </c>
      <c r="BG34" s="56">
        <f>IF(BG$1&lt;=$B34,0,1-_xlfn.POISSON.DIST(BG$1,$B34,FALSE)/(_xlfn.POISSON.DIST(BG$1,$B34,FALSE)+(1-$B34/BG$1)*_xlfn.POISSON.DIST(BG$1-1,$B34,TRUE))*EXP(-(BG$1-$B34)*'Staffing Calculator'!$B$5/'Staffing Calculator'!$B$6))</f>
        <v/>
      </c>
      <c r="BH34" s="56">
        <f>IF(BH$1&lt;=$B34,0,1-_xlfn.POISSON.DIST(BH$1,$B34,FALSE)/(_xlfn.POISSON.DIST(BH$1,$B34,FALSE)+(1-$B34/BH$1)*_xlfn.POISSON.DIST(BH$1-1,$B34,TRUE))*EXP(-(BH$1-$B34)*'Staffing Calculator'!$B$5/'Staffing Calculator'!$B$6))</f>
        <v/>
      </c>
      <c r="BI34" s="56">
        <f>IF(BI$1&lt;=$B34,0,1-_xlfn.POISSON.DIST(BI$1,$B34,FALSE)/(_xlfn.POISSON.DIST(BI$1,$B34,FALSE)+(1-$B34/BI$1)*_xlfn.POISSON.DIST(BI$1-1,$B34,TRUE))*EXP(-(BI$1-$B34)*'Staffing Calculator'!$B$5/'Staffing Calculator'!$B$6))</f>
        <v/>
      </c>
      <c r="BJ34" s="56">
        <f>IF(BJ$1&lt;=$B34,0,1-_xlfn.POISSON.DIST(BJ$1,$B34,FALSE)/(_xlfn.POISSON.DIST(BJ$1,$B34,FALSE)+(1-$B34/BJ$1)*_xlfn.POISSON.DIST(BJ$1-1,$B34,TRUE))*EXP(-(BJ$1-$B34)*'Staffing Calculator'!$B$5/'Staffing Calculator'!$B$6))</f>
        <v/>
      </c>
    </row>
    <row r="35">
      <c r="A35" s="54">
        <f>'Staffing Calculator'!A35</f>
        <v/>
      </c>
      <c r="B35" s="55">
        <f>'Staffing Calculator'!C35</f>
        <v/>
      </c>
      <c r="C35" s="56">
        <f>IF(C$1&lt;=$B35,0,1-_xlfn.POISSON.DIST(C$1,$B35,FALSE)/(_xlfn.POISSON.DIST(C$1,$B35,FALSE)+(1-$B35/C$1)*_xlfn.POISSON.DIST(C$1-1,$B35,TRUE))*EXP(-(C$1-$B35)*'Staffing Calculator'!$B$5/'Staffing Calculator'!$B$6))</f>
        <v/>
      </c>
      <c r="D35" s="56">
        <f>IF(D$1&lt;=$B35,0,1-_xlfn.POISSON.DIST(D$1,$B35,FALSE)/(_xlfn.POISSON.DIST(D$1,$B35,FALSE)+(1-$B35/D$1)*_xlfn.POISSON.DIST(D$1-1,$B35,TRUE))*EXP(-(D$1-$B35)*'Staffing Calculator'!$B$5/'Staffing Calculator'!$B$6))</f>
        <v/>
      </c>
      <c r="E35" s="56">
        <f>IF(E$1&lt;=$B35,0,1-_xlfn.POISSON.DIST(E$1,$B35,FALSE)/(_xlfn.POISSON.DIST(E$1,$B35,FALSE)+(1-$B35/E$1)*_xlfn.POISSON.DIST(E$1-1,$B35,TRUE))*EXP(-(E$1-$B35)*'Staffing Calculator'!$B$5/'Staffing Calculator'!$B$6))</f>
        <v/>
      </c>
      <c r="F35" s="56">
        <f>IF(F$1&lt;=$B35,0,1-_xlfn.POISSON.DIST(F$1,$B35,FALSE)/(_xlfn.POISSON.DIST(F$1,$B35,FALSE)+(1-$B35/F$1)*_xlfn.POISSON.DIST(F$1-1,$B35,TRUE))*EXP(-(F$1-$B35)*'Staffing Calculator'!$B$5/'Staffing Calculator'!$B$6))</f>
        <v/>
      </c>
      <c r="G35" s="56">
        <f>IF(G$1&lt;=$B35,0,1-_xlfn.POISSON.DIST(G$1,$B35,FALSE)/(_xlfn.POISSON.DIST(G$1,$B35,FALSE)+(1-$B35/G$1)*_xlfn.POISSON.DIST(G$1-1,$B35,TRUE))*EXP(-(G$1-$B35)*'Staffing Calculator'!$B$5/'Staffing Calculator'!$B$6))</f>
        <v/>
      </c>
      <c r="H35" s="56">
        <f>IF(H$1&lt;=$B35,0,1-_xlfn.POISSON.DIST(H$1,$B35,FALSE)/(_xlfn.POISSON.DIST(H$1,$B35,FALSE)+(1-$B35/H$1)*_xlfn.POISSON.DIST(H$1-1,$B35,TRUE))*EXP(-(H$1-$B35)*'Staffing Calculator'!$B$5/'Staffing Calculator'!$B$6))</f>
        <v/>
      </c>
      <c r="I35" s="56">
        <f>IF(I$1&lt;=$B35,0,1-_xlfn.POISSON.DIST(I$1,$B35,FALSE)/(_xlfn.POISSON.DIST(I$1,$B35,FALSE)+(1-$B35/I$1)*_xlfn.POISSON.DIST(I$1-1,$B35,TRUE))*EXP(-(I$1-$B35)*'Staffing Calculator'!$B$5/'Staffing Calculator'!$B$6))</f>
        <v/>
      </c>
      <c r="J35" s="56">
        <f>IF(J$1&lt;=$B35,0,1-_xlfn.POISSON.DIST(J$1,$B35,FALSE)/(_xlfn.POISSON.DIST(J$1,$B35,FALSE)+(1-$B35/J$1)*_xlfn.POISSON.DIST(J$1-1,$B35,TRUE))*EXP(-(J$1-$B35)*'Staffing Calculator'!$B$5/'Staffing Calculator'!$B$6))</f>
        <v/>
      </c>
      <c r="K35" s="56">
        <f>IF(K$1&lt;=$B35,0,1-_xlfn.POISSON.DIST(K$1,$B35,FALSE)/(_xlfn.POISSON.DIST(K$1,$B35,FALSE)+(1-$B35/K$1)*_xlfn.POISSON.DIST(K$1-1,$B35,TRUE))*EXP(-(K$1-$B35)*'Staffing Calculator'!$B$5/'Staffing Calculator'!$B$6))</f>
        <v/>
      </c>
      <c r="L35" s="56">
        <f>IF(L$1&lt;=$B35,0,1-_xlfn.POISSON.DIST(L$1,$B35,FALSE)/(_xlfn.POISSON.DIST(L$1,$B35,FALSE)+(1-$B35/L$1)*_xlfn.POISSON.DIST(L$1-1,$B35,TRUE))*EXP(-(L$1-$B35)*'Staffing Calculator'!$B$5/'Staffing Calculator'!$B$6))</f>
        <v/>
      </c>
      <c r="M35" s="56">
        <f>IF(M$1&lt;=$B35,0,1-_xlfn.POISSON.DIST(M$1,$B35,FALSE)/(_xlfn.POISSON.DIST(M$1,$B35,FALSE)+(1-$B35/M$1)*_xlfn.POISSON.DIST(M$1-1,$B35,TRUE))*EXP(-(M$1-$B35)*'Staffing Calculator'!$B$5/'Staffing Calculator'!$B$6))</f>
        <v/>
      </c>
      <c r="N35" s="56">
        <f>IF(N$1&lt;=$B35,0,1-_xlfn.POISSON.DIST(N$1,$B35,FALSE)/(_xlfn.POISSON.DIST(N$1,$B35,FALSE)+(1-$B35/N$1)*_xlfn.POISSON.DIST(N$1-1,$B35,TRUE))*EXP(-(N$1-$B35)*'Staffing Calculator'!$B$5/'Staffing Calculator'!$B$6))</f>
        <v/>
      </c>
      <c r="O35" s="56">
        <f>IF(O$1&lt;=$B35,0,1-_xlfn.POISSON.DIST(O$1,$B35,FALSE)/(_xlfn.POISSON.DIST(O$1,$B35,FALSE)+(1-$B35/O$1)*_xlfn.POISSON.DIST(O$1-1,$B35,TRUE))*EXP(-(O$1-$B35)*'Staffing Calculator'!$B$5/'Staffing Calculator'!$B$6))</f>
        <v/>
      </c>
      <c r="P35" s="56">
        <f>IF(P$1&lt;=$B35,0,1-_xlfn.POISSON.DIST(P$1,$B35,FALSE)/(_xlfn.POISSON.DIST(P$1,$B35,FALSE)+(1-$B35/P$1)*_xlfn.POISSON.DIST(P$1-1,$B35,TRUE))*EXP(-(P$1-$B35)*'Staffing Calculator'!$B$5/'Staffing Calculator'!$B$6))</f>
        <v/>
      </c>
      <c r="Q35" s="56">
        <f>IF(Q$1&lt;=$B35,0,1-_xlfn.POISSON.DIST(Q$1,$B35,FALSE)/(_xlfn.POISSON.DIST(Q$1,$B35,FALSE)+(1-$B35/Q$1)*_xlfn.POISSON.DIST(Q$1-1,$B35,TRUE))*EXP(-(Q$1-$B35)*'Staffing Calculator'!$B$5/'Staffing Calculator'!$B$6))</f>
        <v/>
      </c>
      <c r="R35" s="56">
        <f>IF(R$1&lt;=$B35,0,1-_xlfn.POISSON.DIST(R$1,$B35,FALSE)/(_xlfn.POISSON.DIST(R$1,$B35,FALSE)+(1-$B35/R$1)*_xlfn.POISSON.DIST(R$1-1,$B35,TRUE))*EXP(-(R$1-$B35)*'Staffing Calculator'!$B$5/'Staffing Calculator'!$B$6))</f>
        <v/>
      </c>
      <c r="S35" s="56">
        <f>IF(S$1&lt;=$B35,0,1-_xlfn.POISSON.DIST(S$1,$B35,FALSE)/(_xlfn.POISSON.DIST(S$1,$B35,FALSE)+(1-$B35/S$1)*_xlfn.POISSON.DIST(S$1-1,$B35,TRUE))*EXP(-(S$1-$B35)*'Staffing Calculator'!$B$5/'Staffing Calculator'!$B$6))</f>
        <v/>
      </c>
      <c r="T35" s="56">
        <f>IF(T$1&lt;=$B35,0,1-_xlfn.POISSON.DIST(T$1,$B35,FALSE)/(_xlfn.POISSON.DIST(T$1,$B35,FALSE)+(1-$B35/T$1)*_xlfn.POISSON.DIST(T$1-1,$B35,TRUE))*EXP(-(T$1-$B35)*'Staffing Calculator'!$B$5/'Staffing Calculator'!$B$6))</f>
        <v/>
      </c>
      <c r="U35" s="56">
        <f>IF(U$1&lt;=$B35,0,1-_xlfn.POISSON.DIST(U$1,$B35,FALSE)/(_xlfn.POISSON.DIST(U$1,$B35,FALSE)+(1-$B35/U$1)*_xlfn.POISSON.DIST(U$1-1,$B35,TRUE))*EXP(-(U$1-$B35)*'Staffing Calculator'!$B$5/'Staffing Calculator'!$B$6))</f>
        <v/>
      </c>
      <c r="V35" s="56">
        <f>IF(V$1&lt;=$B35,0,1-_xlfn.POISSON.DIST(V$1,$B35,FALSE)/(_xlfn.POISSON.DIST(V$1,$B35,FALSE)+(1-$B35/V$1)*_xlfn.POISSON.DIST(V$1-1,$B35,TRUE))*EXP(-(V$1-$B35)*'Staffing Calculator'!$B$5/'Staffing Calculator'!$B$6))</f>
        <v/>
      </c>
      <c r="W35" s="56">
        <f>IF(W$1&lt;=$B35,0,1-_xlfn.POISSON.DIST(W$1,$B35,FALSE)/(_xlfn.POISSON.DIST(W$1,$B35,FALSE)+(1-$B35/W$1)*_xlfn.POISSON.DIST(W$1-1,$B35,TRUE))*EXP(-(W$1-$B35)*'Staffing Calculator'!$B$5/'Staffing Calculator'!$B$6))</f>
        <v/>
      </c>
      <c r="X35" s="56">
        <f>IF(X$1&lt;=$B35,0,1-_xlfn.POISSON.DIST(X$1,$B35,FALSE)/(_xlfn.POISSON.DIST(X$1,$B35,FALSE)+(1-$B35/X$1)*_xlfn.POISSON.DIST(X$1-1,$B35,TRUE))*EXP(-(X$1-$B35)*'Staffing Calculator'!$B$5/'Staffing Calculator'!$B$6))</f>
        <v/>
      </c>
      <c r="Y35" s="56">
        <f>IF(Y$1&lt;=$B35,0,1-_xlfn.POISSON.DIST(Y$1,$B35,FALSE)/(_xlfn.POISSON.DIST(Y$1,$B35,FALSE)+(1-$B35/Y$1)*_xlfn.POISSON.DIST(Y$1-1,$B35,TRUE))*EXP(-(Y$1-$B35)*'Staffing Calculator'!$B$5/'Staffing Calculator'!$B$6))</f>
        <v/>
      </c>
      <c r="Z35" s="56">
        <f>IF(Z$1&lt;=$B35,0,1-_xlfn.POISSON.DIST(Z$1,$B35,FALSE)/(_xlfn.POISSON.DIST(Z$1,$B35,FALSE)+(1-$B35/Z$1)*_xlfn.POISSON.DIST(Z$1-1,$B35,TRUE))*EXP(-(Z$1-$B35)*'Staffing Calculator'!$B$5/'Staffing Calculator'!$B$6))</f>
        <v/>
      </c>
      <c r="AA35" s="56">
        <f>IF(AA$1&lt;=$B35,0,1-_xlfn.POISSON.DIST(AA$1,$B35,FALSE)/(_xlfn.POISSON.DIST(AA$1,$B35,FALSE)+(1-$B35/AA$1)*_xlfn.POISSON.DIST(AA$1-1,$B35,TRUE))*EXP(-(AA$1-$B35)*'Staffing Calculator'!$B$5/'Staffing Calculator'!$B$6))</f>
        <v/>
      </c>
      <c r="AB35" s="56">
        <f>IF(AB$1&lt;=$B35,0,1-_xlfn.POISSON.DIST(AB$1,$B35,FALSE)/(_xlfn.POISSON.DIST(AB$1,$B35,FALSE)+(1-$B35/AB$1)*_xlfn.POISSON.DIST(AB$1-1,$B35,TRUE))*EXP(-(AB$1-$B35)*'Staffing Calculator'!$B$5/'Staffing Calculator'!$B$6))</f>
        <v/>
      </c>
      <c r="AC35" s="56">
        <f>IF(AC$1&lt;=$B35,0,1-_xlfn.POISSON.DIST(AC$1,$B35,FALSE)/(_xlfn.POISSON.DIST(AC$1,$B35,FALSE)+(1-$B35/AC$1)*_xlfn.POISSON.DIST(AC$1-1,$B35,TRUE))*EXP(-(AC$1-$B35)*'Staffing Calculator'!$B$5/'Staffing Calculator'!$B$6))</f>
        <v/>
      </c>
      <c r="AD35" s="56">
        <f>IF(AD$1&lt;=$B35,0,1-_xlfn.POISSON.DIST(AD$1,$B35,FALSE)/(_xlfn.POISSON.DIST(AD$1,$B35,FALSE)+(1-$B35/AD$1)*_xlfn.POISSON.DIST(AD$1-1,$B35,TRUE))*EXP(-(AD$1-$B35)*'Staffing Calculator'!$B$5/'Staffing Calculator'!$B$6))</f>
        <v/>
      </c>
      <c r="AE35" s="56">
        <f>IF(AE$1&lt;=$B35,0,1-_xlfn.POISSON.DIST(AE$1,$B35,FALSE)/(_xlfn.POISSON.DIST(AE$1,$B35,FALSE)+(1-$B35/AE$1)*_xlfn.POISSON.DIST(AE$1-1,$B35,TRUE))*EXP(-(AE$1-$B35)*'Staffing Calculator'!$B$5/'Staffing Calculator'!$B$6))</f>
        <v/>
      </c>
      <c r="AF35" s="56">
        <f>IF(AF$1&lt;=$B35,0,1-_xlfn.POISSON.DIST(AF$1,$B35,FALSE)/(_xlfn.POISSON.DIST(AF$1,$B35,FALSE)+(1-$B35/AF$1)*_xlfn.POISSON.DIST(AF$1-1,$B35,TRUE))*EXP(-(AF$1-$B35)*'Staffing Calculator'!$B$5/'Staffing Calculator'!$B$6))</f>
        <v/>
      </c>
      <c r="AG35" s="56">
        <f>IF(AG$1&lt;=$B35,0,1-_xlfn.POISSON.DIST(AG$1,$B35,FALSE)/(_xlfn.POISSON.DIST(AG$1,$B35,FALSE)+(1-$B35/AG$1)*_xlfn.POISSON.DIST(AG$1-1,$B35,TRUE))*EXP(-(AG$1-$B35)*'Staffing Calculator'!$B$5/'Staffing Calculator'!$B$6))</f>
        <v/>
      </c>
      <c r="AH35" s="56">
        <f>IF(AH$1&lt;=$B35,0,1-_xlfn.POISSON.DIST(AH$1,$B35,FALSE)/(_xlfn.POISSON.DIST(AH$1,$B35,FALSE)+(1-$B35/AH$1)*_xlfn.POISSON.DIST(AH$1-1,$B35,TRUE))*EXP(-(AH$1-$B35)*'Staffing Calculator'!$B$5/'Staffing Calculator'!$B$6))</f>
        <v/>
      </c>
      <c r="AI35" s="56">
        <f>IF(AI$1&lt;=$B35,0,1-_xlfn.POISSON.DIST(AI$1,$B35,FALSE)/(_xlfn.POISSON.DIST(AI$1,$B35,FALSE)+(1-$B35/AI$1)*_xlfn.POISSON.DIST(AI$1-1,$B35,TRUE))*EXP(-(AI$1-$B35)*'Staffing Calculator'!$B$5/'Staffing Calculator'!$B$6))</f>
        <v/>
      </c>
      <c r="AJ35" s="56">
        <f>IF(AJ$1&lt;=$B35,0,1-_xlfn.POISSON.DIST(AJ$1,$B35,FALSE)/(_xlfn.POISSON.DIST(AJ$1,$B35,FALSE)+(1-$B35/AJ$1)*_xlfn.POISSON.DIST(AJ$1-1,$B35,TRUE))*EXP(-(AJ$1-$B35)*'Staffing Calculator'!$B$5/'Staffing Calculator'!$B$6))</f>
        <v/>
      </c>
      <c r="AK35" s="56">
        <f>IF(AK$1&lt;=$B35,0,1-_xlfn.POISSON.DIST(AK$1,$B35,FALSE)/(_xlfn.POISSON.DIST(AK$1,$B35,FALSE)+(1-$B35/AK$1)*_xlfn.POISSON.DIST(AK$1-1,$B35,TRUE))*EXP(-(AK$1-$B35)*'Staffing Calculator'!$B$5/'Staffing Calculator'!$B$6))</f>
        <v/>
      </c>
      <c r="AL35" s="56">
        <f>IF(AL$1&lt;=$B35,0,1-_xlfn.POISSON.DIST(AL$1,$B35,FALSE)/(_xlfn.POISSON.DIST(AL$1,$B35,FALSE)+(1-$B35/AL$1)*_xlfn.POISSON.DIST(AL$1-1,$B35,TRUE))*EXP(-(AL$1-$B35)*'Staffing Calculator'!$B$5/'Staffing Calculator'!$B$6))</f>
        <v/>
      </c>
      <c r="AM35" s="56">
        <f>IF(AM$1&lt;=$B35,0,1-_xlfn.POISSON.DIST(AM$1,$B35,FALSE)/(_xlfn.POISSON.DIST(AM$1,$B35,FALSE)+(1-$B35/AM$1)*_xlfn.POISSON.DIST(AM$1-1,$B35,TRUE))*EXP(-(AM$1-$B35)*'Staffing Calculator'!$B$5/'Staffing Calculator'!$B$6))</f>
        <v/>
      </c>
      <c r="AN35" s="56">
        <f>IF(AN$1&lt;=$B35,0,1-_xlfn.POISSON.DIST(AN$1,$B35,FALSE)/(_xlfn.POISSON.DIST(AN$1,$B35,FALSE)+(1-$B35/AN$1)*_xlfn.POISSON.DIST(AN$1-1,$B35,TRUE))*EXP(-(AN$1-$B35)*'Staffing Calculator'!$B$5/'Staffing Calculator'!$B$6))</f>
        <v/>
      </c>
      <c r="AO35" s="56">
        <f>IF(AO$1&lt;=$B35,0,1-_xlfn.POISSON.DIST(AO$1,$B35,FALSE)/(_xlfn.POISSON.DIST(AO$1,$B35,FALSE)+(1-$B35/AO$1)*_xlfn.POISSON.DIST(AO$1-1,$B35,TRUE))*EXP(-(AO$1-$B35)*'Staffing Calculator'!$B$5/'Staffing Calculator'!$B$6))</f>
        <v/>
      </c>
      <c r="AP35" s="56">
        <f>IF(AP$1&lt;=$B35,0,1-_xlfn.POISSON.DIST(AP$1,$B35,FALSE)/(_xlfn.POISSON.DIST(AP$1,$B35,FALSE)+(1-$B35/AP$1)*_xlfn.POISSON.DIST(AP$1-1,$B35,TRUE))*EXP(-(AP$1-$B35)*'Staffing Calculator'!$B$5/'Staffing Calculator'!$B$6))</f>
        <v/>
      </c>
      <c r="AQ35" s="56">
        <f>IF(AQ$1&lt;=$B35,0,1-_xlfn.POISSON.DIST(AQ$1,$B35,FALSE)/(_xlfn.POISSON.DIST(AQ$1,$B35,FALSE)+(1-$B35/AQ$1)*_xlfn.POISSON.DIST(AQ$1-1,$B35,TRUE))*EXP(-(AQ$1-$B35)*'Staffing Calculator'!$B$5/'Staffing Calculator'!$B$6))</f>
        <v/>
      </c>
      <c r="AR35" s="56">
        <f>IF(AR$1&lt;=$B35,0,1-_xlfn.POISSON.DIST(AR$1,$B35,FALSE)/(_xlfn.POISSON.DIST(AR$1,$B35,FALSE)+(1-$B35/AR$1)*_xlfn.POISSON.DIST(AR$1-1,$B35,TRUE))*EXP(-(AR$1-$B35)*'Staffing Calculator'!$B$5/'Staffing Calculator'!$B$6))</f>
        <v/>
      </c>
      <c r="AS35" s="56">
        <f>IF(AS$1&lt;=$B35,0,1-_xlfn.POISSON.DIST(AS$1,$B35,FALSE)/(_xlfn.POISSON.DIST(AS$1,$B35,FALSE)+(1-$B35/AS$1)*_xlfn.POISSON.DIST(AS$1-1,$B35,TRUE))*EXP(-(AS$1-$B35)*'Staffing Calculator'!$B$5/'Staffing Calculator'!$B$6))</f>
        <v/>
      </c>
      <c r="AT35" s="56">
        <f>IF(AT$1&lt;=$B35,0,1-_xlfn.POISSON.DIST(AT$1,$B35,FALSE)/(_xlfn.POISSON.DIST(AT$1,$B35,FALSE)+(1-$B35/AT$1)*_xlfn.POISSON.DIST(AT$1-1,$B35,TRUE))*EXP(-(AT$1-$B35)*'Staffing Calculator'!$B$5/'Staffing Calculator'!$B$6))</f>
        <v/>
      </c>
      <c r="AU35" s="56">
        <f>IF(AU$1&lt;=$B35,0,1-_xlfn.POISSON.DIST(AU$1,$B35,FALSE)/(_xlfn.POISSON.DIST(AU$1,$B35,FALSE)+(1-$B35/AU$1)*_xlfn.POISSON.DIST(AU$1-1,$B35,TRUE))*EXP(-(AU$1-$B35)*'Staffing Calculator'!$B$5/'Staffing Calculator'!$B$6))</f>
        <v/>
      </c>
      <c r="AV35" s="56">
        <f>IF(AV$1&lt;=$B35,0,1-_xlfn.POISSON.DIST(AV$1,$B35,FALSE)/(_xlfn.POISSON.DIST(AV$1,$B35,FALSE)+(1-$B35/AV$1)*_xlfn.POISSON.DIST(AV$1-1,$B35,TRUE))*EXP(-(AV$1-$B35)*'Staffing Calculator'!$B$5/'Staffing Calculator'!$B$6))</f>
        <v/>
      </c>
      <c r="AW35" s="56">
        <f>IF(AW$1&lt;=$B35,0,1-_xlfn.POISSON.DIST(AW$1,$B35,FALSE)/(_xlfn.POISSON.DIST(AW$1,$B35,FALSE)+(1-$B35/AW$1)*_xlfn.POISSON.DIST(AW$1-1,$B35,TRUE))*EXP(-(AW$1-$B35)*'Staffing Calculator'!$B$5/'Staffing Calculator'!$B$6))</f>
        <v/>
      </c>
      <c r="AX35" s="56">
        <f>IF(AX$1&lt;=$B35,0,1-_xlfn.POISSON.DIST(AX$1,$B35,FALSE)/(_xlfn.POISSON.DIST(AX$1,$B35,FALSE)+(1-$B35/AX$1)*_xlfn.POISSON.DIST(AX$1-1,$B35,TRUE))*EXP(-(AX$1-$B35)*'Staffing Calculator'!$B$5/'Staffing Calculator'!$B$6))</f>
        <v/>
      </c>
      <c r="AY35" s="56">
        <f>IF(AY$1&lt;=$B35,0,1-_xlfn.POISSON.DIST(AY$1,$B35,FALSE)/(_xlfn.POISSON.DIST(AY$1,$B35,FALSE)+(1-$B35/AY$1)*_xlfn.POISSON.DIST(AY$1-1,$B35,TRUE))*EXP(-(AY$1-$B35)*'Staffing Calculator'!$B$5/'Staffing Calculator'!$B$6))</f>
        <v/>
      </c>
      <c r="AZ35" s="56">
        <f>IF(AZ$1&lt;=$B35,0,1-_xlfn.POISSON.DIST(AZ$1,$B35,FALSE)/(_xlfn.POISSON.DIST(AZ$1,$B35,FALSE)+(1-$B35/AZ$1)*_xlfn.POISSON.DIST(AZ$1-1,$B35,TRUE))*EXP(-(AZ$1-$B35)*'Staffing Calculator'!$B$5/'Staffing Calculator'!$B$6))</f>
        <v/>
      </c>
      <c r="BA35" s="56">
        <f>IF(BA$1&lt;=$B35,0,1-_xlfn.POISSON.DIST(BA$1,$B35,FALSE)/(_xlfn.POISSON.DIST(BA$1,$B35,FALSE)+(1-$B35/BA$1)*_xlfn.POISSON.DIST(BA$1-1,$B35,TRUE))*EXP(-(BA$1-$B35)*'Staffing Calculator'!$B$5/'Staffing Calculator'!$B$6))</f>
        <v/>
      </c>
      <c r="BB35" s="56">
        <f>IF(BB$1&lt;=$B35,0,1-_xlfn.POISSON.DIST(BB$1,$B35,FALSE)/(_xlfn.POISSON.DIST(BB$1,$B35,FALSE)+(1-$B35/BB$1)*_xlfn.POISSON.DIST(BB$1-1,$B35,TRUE))*EXP(-(BB$1-$B35)*'Staffing Calculator'!$B$5/'Staffing Calculator'!$B$6))</f>
        <v/>
      </c>
      <c r="BC35" s="56">
        <f>IF(BC$1&lt;=$B35,0,1-_xlfn.POISSON.DIST(BC$1,$B35,FALSE)/(_xlfn.POISSON.DIST(BC$1,$B35,FALSE)+(1-$B35/BC$1)*_xlfn.POISSON.DIST(BC$1-1,$B35,TRUE))*EXP(-(BC$1-$B35)*'Staffing Calculator'!$B$5/'Staffing Calculator'!$B$6))</f>
        <v/>
      </c>
      <c r="BD35" s="56">
        <f>IF(BD$1&lt;=$B35,0,1-_xlfn.POISSON.DIST(BD$1,$B35,FALSE)/(_xlfn.POISSON.DIST(BD$1,$B35,FALSE)+(1-$B35/BD$1)*_xlfn.POISSON.DIST(BD$1-1,$B35,TRUE))*EXP(-(BD$1-$B35)*'Staffing Calculator'!$B$5/'Staffing Calculator'!$B$6))</f>
        <v/>
      </c>
      <c r="BE35" s="56">
        <f>IF(BE$1&lt;=$B35,0,1-_xlfn.POISSON.DIST(BE$1,$B35,FALSE)/(_xlfn.POISSON.DIST(BE$1,$B35,FALSE)+(1-$B35/BE$1)*_xlfn.POISSON.DIST(BE$1-1,$B35,TRUE))*EXP(-(BE$1-$B35)*'Staffing Calculator'!$B$5/'Staffing Calculator'!$B$6))</f>
        <v/>
      </c>
      <c r="BF35" s="56">
        <f>IF(BF$1&lt;=$B35,0,1-_xlfn.POISSON.DIST(BF$1,$B35,FALSE)/(_xlfn.POISSON.DIST(BF$1,$B35,FALSE)+(1-$B35/BF$1)*_xlfn.POISSON.DIST(BF$1-1,$B35,TRUE))*EXP(-(BF$1-$B35)*'Staffing Calculator'!$B$5/'Staffing Calculator'!$B$6))</f>
        <v/>
      </c>
      <c r="BG35" s="56">
        <f>IF(BG$1&lt;=$B35,0,1-_xlfn.POISSON.DIST(BG$1,$B35,FALSE)/(_xlfn.POISSON.DIST(BG$1,$B35,FALSE)+(1-$B35/BG$1)*_xlfn.POISSON.DIST(BG$1-1,$B35,TRUE))*EXP(-(BG$1-$B35)*'Staffing Calculator'!$B$5/'Staffing Calculator'!$B$6))</f>
        <v/>
      </c>
      <c r="BH35" s="56">
        <f>IF(BH$1&lt;=$B35,0,1-_xlfn.POISSON.DIST(BH$1,$B35,FALSE)/(_xlfn.POISSON.DIST(BH$1,$B35,FALSE)+(1-$B35/BH$1)*_xlfn.POISSON.DIST(BH$1-1,$B35,TRUE))*EXP(-(BH$1-$B35)*'Staffing Calculator'!$B$5/'Staffing Calculator'!$B$6))</f>
        <v/>
      </c>
      <c r="BI35" s="56">
        <f>IF(BI$1&lt;=$B35,0,1-_xlfn.POISSON.DIST(BI$1,$B35,FALSE)/(_xlfn.POISSON.DIST(BI$1,$B35,FALSE)+(1-$B35/BI$1)*_xlfn.POISSON.DIST(BI$1-1,$B35,TRUE))*EXP(-(BI$1-$B35)*'Staffing Calculator'!$B$5/'Staffing Calculator'!$B$6))</f>
        <v/>
      </c>
      <c r="BJ35" s="56">
        <f>IF(BJ$1&lt;=$B35,0,1-_xlfn.POISSON.DIST(BJ$1,$B35,FALSE)/(_xlfn.POISSON.DIST(BJ$1,$B35,FALSE)+(1-$B35/BJ$1)*_xlfn.POISSON.DIST(BJ$1-1,$B35,TRUE))*EXP(-(BJ$1-$B35)*'Staffing Calculator'!$B$5/'Staffing Calculator'!$B$6))</f>
        <v/>
      </c>
    </row>
    <row r="36">
      <c r="A36" s="54">
        <f>'Staffing Calculator'!A36</f>
        <v/>
      </c>
      <c r="B36" s="55">
        <f>'Staffing Calculator'!C36</f>
        <v/>
      </c>
      <c r="C36" s="56">
        <f>IF(C$1&lt;=$B36,0,1-_xlfn.POISSON.DIST(C$1,$B36,FALSE)/(_xlfn.POISSON.DIST(C$1,$B36,FALSE)+(1-$B36/C$1)*_xlfn.POISSON.DIST(C$1-1,$B36,TRUE))*EXP(-(C$1-$B36)*'Staffing Calculator'!$B$5/'Staffing Calculator'!$B$6))</f>
        <v/>
      </c>
      <c r="D36" s="56">
        <f>IF(D$1&lt;=$B36,0,1-_xlfn.POISSON.DIST(D$1,$B36,FALSE)/(_xlfn.POISSON.DIST(D$1,$B36,FALSE)+(1-$B36/D$1)*_xlfn.POISSON.DIST(D$1-1,$B36,TRUE))*EXP(-(D$1-$B36)*'Staffing Calculator'!$B$5/'Staffing Calculator'!$B$6))</f>
        <v/>
      </c>
      <c r="E36" s="56">
        <f>IF(E$1&lt;=$B36,0,1-_xlfn.POISSON.DIST(E$1,$B36,FALSE)/(_xlfn.POISSON.DIST(E$1,$B36,FALSE)+(1-$B36/E$1)*_xlfn.POISSON.DIST(E$1-1,$B36,TRUE))*EXP(-(E$1-$B36)*'Staffing Calculator'!$B$5/'Staffing Calculator'!$B$6))</f>
        <v/>
      </c>
      <c r="F36" s="56">
        <f>IF(F$1&lt;=$B36,0,1-_xlfn.POISSON.DIST(F$1,$B36,FALSE)/(_xlfn.POISSON.DIST(F$1,$B36,FALSE)+(1-$B36/F$1)*_xlfn.POISSON.DIST(F$1-1,$B36,TRUE))*EXP(-(F$1-$B36)*'Staffing Calculator'!$B$5/'Staffing Calculator'!$B$6))</f>
        <v/>
      </c>
      <c r="G36" s="56">
        <f>IF(G$1&lt;=$B36,0,1-_xlfn.POISSON.DIST(G$1,$B36,FALSE)/(_xlfn.POISSON.DIST(G$1,$B36,FALSE)+(1-$B36/G$1)*_xlfn.POISSON.DIST(G$1-1,$B36,TRUE))*EXP(-(G$1-$B36)*'Staffing Calculator'!$B$5/'Staffing Calculator'!$B$6))</f>
        <v/>
      </c>
      <c r="H36" s="56">
        <f>IF(H$1&lt;=$B36,0,1-_xlfn.POISSON.DIST(H$1,$B36,FALSE)/(_xlfn.POISSON.DIST(H$1,$B36,FALSE)+(1-$B36/H$1)*_xlfn.POISSON.DIST(H$1-1,$B36,TRUE))*EXP(-(H$1-$B36)*'Staffing Calculator'!$B$5/'Staffing Calculator'!$B$6))</f>
        <v/>
      </c>
      <c r="I36" s="56">
        <f>IF(I$1&lt;=$B36,0,1-_xlfn.POISSON.DIST(I$1,$B36,FALSE)/(_xlfn.POISSON.DIST(I$1,$B36,FALSE)+(1-$B36/I$1)*_xlfn.POISSON.DIST(I$1-1,$B36,TRUE))*EXP(-(I$1-$B36)*'Staffing Calculator'!$B$5/'Staffing Calculator'!$B$6))</f>
        <v/>
      </c>
      <c r="J36" s="56">
        <f>IF(J$1&lt;=$B36,0,1-_xlfn.POISSON.DIST(J$1,$B36,FALSE)/(_xlfn.POISSON.DIST(J$1,$B36,FALSE)+(1-$B36/J$1)*_xlfn.POISSON.DIST(J$1-1,$B36,TRUE))*EXP(-(J$1-$B36)*'Staffing Calculator'!$B$5/'Staffing Calculator'!$B$6))</f>
        <v/>
      </c>
      <c r="K36" s="56">
        <f>IF(K$1&lt;=$B36,0,1-_xlfn.POISSON.DIST(K$1,$B36,FALSE)/(_xlfn.POISSON.DIST(K$1,$B36,FALSE)+(1-$B36/K$1)*_xlfn.POISSON.DIST(K$1-1,$B36,TRUE))*EXP(-(K$1-$B36)*'Staffing Calculator'!$B$5/'Staffing Calculator'!$B$6))</f>
        <v/>
      </c>
      <c r="L36" s="56">
        <f>IF(L$1&lt;=$B36,0,1-_xlfn.POISSON.DIST(L$1,$B36,FALSE)/(_xlfn.POISSON.DIST(L$1,$B36,FALSE)+(1-$B36/L$1)*_xlfn.POISSON.DIST(L$1-1,$B36,TRUE))*EXP(-(L$1-$B36)*'Staffing Calculator'!$B$5/'Staffing Calculator'!$B$6))</f>
        <v/>
      </c>
      <c r="M36" s="56">
        <f>IF(M$1&lt;=$B36,0,1-_xlfn.POISSON.DIST(M$1,$B36,FALSE)/(_xlfn.POISSON.DIST(M$1,$B36,FALSE)+(1-$B36/M$1)*_xlfn.POISSON.DIST(M$1-1,$B36,TRUE))*EXP(-(M$1-$B36)*'Staffing Calculator'!$B$5/'Staffing Calculator'!$B$6))</f>
        <v/>
      </c>
      <c r="N36" s="56">
        <f>IF(N$1&lt;=$B36,0,1-_xlfn.POISSON.DIST(N$1,$B36,FALSE)/(_xlfn.POISSON.DIST(N$1,$B36,FALSE)+(1-$B36/N$1)*_xlfn.POISSON.DIST(N$1-1,$B36,TRUE))*EXP(-(N$1-$B36)*'Staffing Calculator'!$B$5/'Staffing Calculator'!$B$6))</f>
        <v/>
      </c>
      <c r="O36" s="56">
        <f>IF(O$1&lt;=$B36,0,1-_xlfn.POISSON.DIST(O$1,$B36,FALSE)/(_xlfn.POISSON.DIST(O$1,$B36,FALSE)+(1-$B36/O$1)*_xlfn.POISSON.DIST(O$1-1,$B36,TRUE))*EXP(-(O$1-$B36)*'Staffing Calculator'!$B$5/'Staffing Calculator'!$B$6))</f>
        <v/>
      </c>
      <c r="P36" s="56">
        <f>IF(P$1&lt;=$B36,0,1-_xlfn.POISSON.DIST(P$1,$B36,FALSE)/(_xlfn.POISSON.DIST(P$1,$B36,FALSE)+(1-$B36/P$1)*_xlfn.POISSON.DIST(P$1-1,$B36,TRUE))*EXP(-(P$1-$B36)*'Staffing Calculator'!$B$5/'Staffing Calculator'!$B$6))</f>
        <v/>
      </c>
      <c r="Q36" s="56">
        <f>IF(Q$1&lt;=$B36,0,1-_xlfn.POISSON.DIST(Q$1,$B36,FALSE)/(_xlfn.POISSON.DIST(Q$1,$B36,FALSE)+(1-$B36/Q$1)*_xlfn.POISSON.DIST(Q$1-1,$B36,TRUE))*EXP(-(Q$1-$B36)*'Staffing Calculator'!$B$5/'Staffing Calculator'!$B$6))</f>
        <v/>
      </c>
      <c r="R36" s="56">
        <f>IF(R$1&lt;=$B36,0,1-_xlfn.POISSON.DIST(R$1,$B36,FALSE)/(_xlfn.POISSON.DIST(R$1,$B36,FALSE)+(1-$B36/R$1)*_xlfn.POISSON.DIST(R$1-1,$B36,TRUE))*EXP(-(R$1-$B36)*'Staffing Calculator'!$B$5/'Staffing Calculator'!$B$6))</f>
        <v/>
      </c>
      <c r="S36" s="56">
        <f>IF(S$1&lt;=$B36,0,1-_xlfn.POISSON.DIST(S$1,$B36,FALSE)/(_xlfn.POISSON.DIST(S$1,$B36,FALSE)+(1-$B36/S$1)*_xlfn.POISSON.DIST(S$1-1,$B36,TRUE))*EXP(-(S$1-$B36)*'Staffing Calculator'!$B$5/'Staffing Calculator'!$B$6))</f>
        <v/>
      </c>
      <c r="T36" s="56">
        <f>IF(T$1&lt;=$B36,0,1-_xlfn.POISSON.DIST(T$1,$B36,FALSE)/(_xlfn.POISSON.DIST(T$1,$B36,FALSE)+(1-$B36/T$1)*_xlfn.POISSON.DIST(T$1-1,$B36,TRUE))*EXP(-(T$1-$B36)*'Staffing Calculator'!$B$5/'Staffing Calculator'!$B$6))</f>
        <v/>
      </c>
      <c r="U36" s="56">
        <f>IF(U$1&lt;=$B36,0,1-_xlfn.POISSON.DIST(U$1,$B36,FALSE)/(_xlfn.POISSON.DIST(U$1,$B36,FALSE)+(1-$B36/U$1)*_xlfn.POISSON.DIST(U$1-1,$B36,TRUE))*EXP(-(U$1-$B36)*'Staffing Calculator'!$B$5/'Staffing Calculator'!$B$6))</f>
        <v/>
      </c>
      <c r="V36" s="56">
        <f>IF(V$1&lt;=$B36,0,1-_xlfn.POISSON.DIST(V$1,$B36,FALSE)/(_xlfn.POISSON.DIST(V$1,$B36,FALSE)+(1-$B36/V$1)*_xlfn.POISSON.DIST(V$1-1,$B36,TRUE))*EXP(-(V$1-$B36)*'Staffing Calculator'!$B$5/'Staffing Calculator'!$B$6))</f>
        <v/>
      </c>
      <c r="W36" s="56">
        <f>IF(W$1&lt;=$B36,0,1-_xlfn.POISSON.DIST(W$1,$B36,FALSE)/(_xlfn.POISSON.DIST(W$1,$B36,FALSE)+(1-$B36/W$1)*_xlfn.POISSON.DIST(W$1-1,$B36,TRUE))*EXP(-(W$1-$B36)*'Staffing Calculator'!$B$5/'Staffing Calculator'!$B$6))</f>
        <v/>
      </c>
      <c r="X36" s="56">
        <f>IF(X$1&lt;=$B36,0,1-_xlfn.POISSON.DIST(X$1,$B36,FALSE)/(_xlfn.POISSON.DIST(X$1,$B36,FALSE)+(1-$B36/X$1)*_xlfn.POISSON.DIST(X$1-1,$B36,TRUE))*EXP(-(X$1-$B36)*'Staffing Calculator'!$B$5/'Staffing Calculator'!$B$6))</f>
        <v/>
      </c>
      <c r="Y36" s="56">
        <f>IF(Y$1&lt;=$B36,0,1-_xlfn.POISSON.DIST(Y$1,$B36,FALSE)/(_xlfn.POISSON.DIST(Y$1,$B36,FALSE)+(1-$B36/Y$1)*_xlfn.POISSON.DIST(Y$1-1,$B36,TRUE))*EXP(-(Y$1-$B36)*'Staffing Calculator'!$B$5/'Staffing Calculator'!$B$6))</f>
        <v/>
      </c>
      <c r="Z36" s="56">
        <f>IF(Z$1&lt;=$B36,0,1-_xlfn.POISSON.DIST(Z$1,$B36,FALSE)/(_xlfn.POISSON.DIST(Z$1,$B36,FALSE)+(1-$B36/Z$1)*_xlfn.POISSON.DIST(Z$1-1,$B36,TRUE))*EXP(-(Z$1-$B36)*'Staffing Calculator'!$B$5/'Staffing Calculator'!$B$6))</f>
        <v/>
      </c>
      <c r="AA36" s="56">
        <f>IF(AA$1&lt;=$B36,0,1-_xlfn.POISSON.DIST(AA$1,$B36,FALSE)/(_xlfn.POISSON.DIST(AA$1,$B36,FALSE)+(1-$B36/AA$1)*_xlfn.POISSON.DIST(AA$1-1,$B36,TRUE))*EXP(-(AA$1-$B36)*'Staffing Calculator'!$B$5/'Staffing Calculator'!$B$6))</f>
        <v/>
      </c>
      <c r="AB36" s="56">
        <f>IF(AB$1&lt;=$B36,0,1-_xlfn.POISSON.DIST(AB$1,$B36,FALSE)/(_xlfn.POISSON.DIST(AB$1,$B36,FALSE)+(1-$B36/AB$1)*_xlfn.POISSON.DIST(AB$1-1,$B36,TRUE))*EXP(-(AB$1-$B36)*'Staffing Calculator'!$B$5/'Staffing Calculator'!$B$6))</f>
        <v/>
      </c>
      <c r="AC36" s="56">
        <f>IF(AC$1&lt;=$B36,0,1-_xlfn.POISSON.DIST(AC$1,$B36,FALSE)/(_xlfn.POISSON.DIST(AC$1,$B36,FALSE)+(1-$B36/AC$1)*_xlfn.POISSON.DIST(AC$1-1,$B36,TRUE))*EXP(-(AC$1-$B36)*'Staffing Calculator'!$B$5/'Staffing Calculator'!$B$6))</f>
        <v/>
      </c>
      <c r="AD36" s="56">
        <f>IF(AD$1&lt;=$B36,0,1-_xlfn.POISSON.DIST(AD$1,$B36,FALSE)/(_xlfn.POISSON.DIST(AD$1,$B36,FALSE)+(1-$B36/AD$1)*_xlfn.POISSON.DIST(AD$1-1,$B36,TRUE))*EXP(-(AD$1-$B36)*'Staffing Calculator'!$B$5/'Staffing Calculator'!$B$6))</f>
        <v/>
      </c>
      <c r="AE36" s="56">
        <f>IF(AE$1&lt;=$B36,0,1-_xlfn.POISSON.DIST(AE$1,$B36,FALSE)/(_xlfn.POISSON.DIST(AE$1,$B36,FALSE)+(1-$B36/AE$1)*_xlfn.POISSON.DIST(AE$1-1,$B36,TRUE))*EXP(-(AE$1-$B36)*'Staffing Calculator'!$B$5/'Staffing Calculator'!$B$6))</f>
        <v/>
      </c>
      <c r="AF36" s="56">
        <f>IF(AF$1&lt;=$B36,0,1-_xlfn.POISSON.DIST(AF$1,$B36,FALSE)/(_xlfn.POISSON.DIST(AF$1,$B36,FALSE)+(1-$B36/AF$1)*_xlfn.POISSON.DIST(AF$1-1,$B36,TRUE))*EXP(-(AF$1-$B36)*'Staffing Calculator'!$B$5/'Staffing Calculator'!$B$6))</f>
        <v/>
      </c>
      <c r="AG36" s="56">
        <f>IF(AG$1&lt;=$B36,0,1-_xlfn.POISSON.DIST(AG$1,$B36,FALSE)/(_xlfn.POISSON.DIST(AG$1,$B36,FALSE)+(1-$B36/AG$1)*_xlfn.POISSON.DIST(AG$1-1,$B36,TRUE))*EXP(-(AG$1-$B36)*'Staffing Calculator'!$B$5/'Staffing Calculator'!$B$6))</f>
        <v/>
      </c>
      <c r="AH36" s="56">
        <f>IF(AH$1&lt;=$B36,0,1-_xlfn.POISSON.DIST(AH$1,$B36,FALSE)/(_xlfn.POISSON.DIST(AH$1,$B36,FALSE)+(1-$B36/AH$1)*_xlfn.POISSON.DIST(AH$1-1,$B36,TRUE))*EXP(-(AH$1-$B36)*'Staffing Calculator'!$B$5/'Staffing Calculator'!$B$6))</f>
        <v/>
      </c>
      <c r="AI36" s="56">
        <f>IF(AI$1&lt;=$B36,0,1-_xlfn.POISSON.DIST(AI$1,$B36,FALSE)/(_xlfn.POISSON.DIST(AI$1,$B36,FALSE)+(1-$B36/AI$1)*_xlfn.POISSON.DIST(AI$1-1,$B36,TRUE))*EXP(-(AI$1-$B36)*'Staffing Calculator'!$B$5/'Staffing Calculator'!$B$6))</f>
        <v/>
      </c>
      <c r="AJ36" s="56">
        <f>IF(AJ$1&lt;=$B36,0,1-_xlfn.POISSON.DIST(AJ$1,$B36,FALSE)/(_xlfn.POISSON.DIST(AJ$1,$B36,FALSE)+(1-$B36/AJ$1)*_xlfn.POISSON.DIST(AJ$1-1,$B36,TRUE))*EXP(-(AJ$1-$B36)*'Staffing Calculator'!$B$5/'Staffing Calculator'!$B$6))</f>
        <v/>
      </c>
      <c r="AK36" s="56">
        <f>IF(AK$1&lt;=$B36,0,1-_xlfn.POISSON.DIST(AK$1,$B36,FALSE)/(_xlfn.POISSON.DIST(AK$1,$B36,FALSE)+(1-$B36/AK$1)*_xlfn.POISSON.DIST(AK$1-1,$B36,TRUE))*EXP(-(AK$1-$B36)*'Staffing Calculator'!$B$5/'Staffing Calculator'!$B$6))</f>
        <v/>
      </c>
      <c r="AL36" s="56">
        <f>IF(AL$1&lt;=$B36,0,1-_xlfn.POISSON.DIST(AL$1,$B36,FALSE)/(_xlfn.POISSON.DIST(AL$1,$B36,FALSE)+(1-$B36/AL$1)*_xlfn.POISSON.DIST(AL$1-1,$B36,TRUE))*EXP(-(AL$1-$B36)*'Staffing Calculator'!$B$5/'Staffing Calculator'!$B$6))</f>
        <v/>
      </c>
      <c r="AM36" s="56">
        <f>IF(AM$1&lt;=$B36,0,1-_xlfn.POISSON.DIST(AM$1,$B36,FALSE)/(_xlfn.POISSON.DIST(AM$1,$B36,FALSE)+(1-$B36/AM$1)*_xlfn.POISSON.DIST(AM$1-1,$B36,TRUE))*EXP(-(AM$1-$B36)*'Staffing Calculator'!$B$5/'Staffing Calculator'!$B$6))</f>
        <v/>
      </c>
      <c r="AN36" s="56">
        <f>IF(AN$1&lt;=$B36,0,1-_xlfn.POISSON.DIST(AN$1,$B36,FALSE)/(_xlfn.POISSON.DIST(AN$1,$B36,FALSE)+(1-$B36/AN$1)*_xlfn.POISSON.DIST(AN$1-1,$B36,TRUE))*EXP(-(AN$1-$B36)*'Staffing Calculator'!$B$5/'Staffing Calculator'!$B$6))</f>
        <v/>
      </c>
      <c r="AO36" s="56">
        <f>IF(AO$1&lt;=$B36,0,1-_xlfn.POISSON.DIST(AO$1,$B36,FALSE)/(_xlfn.POISSON.DIST(AO$1,$B36,FALSE)+(1-$B36/AO$1)*_xlfn.POISSON.DIST(AO$1-1,$B36,TRUE))*EXP(-(AO$1-$B36)*'Staffing Calculator'!$B$5/'Staffing Calculator'!$B$6))</f>
        <v/>
      </c>
      <c r="AP36" s="56">
        <f>IF(AP$1&lt;=$B36,0,1-_xlfn.POISSON.DIST(AP$1,$B36,FALSE)/(_xlfn.POISSON.DIST(AP$1,$B36,FALSE)+(1-$B36/AP$1)*_xlfn.POISSON.DIST(AP$1-1,$B36,TRUE))*EXP(-(AP$1-$B36)*'Staffing Calculator'!$B$5/'Staffing Calculator'!$B$6))</f>
        <v/>
      </c>
      <c r="AQ36" s="56">
        <f>IF(AQ$1&lt;=$B36,0,1-_xlfn.POISSON.DIST(AQ$1,$B36,FALSE)/(_xlfn.POISSON.DIST(AQ$1,$B36,FALSE)+(1-$B36/AQ$1)*_xlfn.POISSON.DIST(AQ$1-1,$B36,TRUE))*EXP(-(AQ$1-$B36)*'Staffing Calculator'!$B$5/'Staffing Calculator'!$B$6))</f>
        <v/>
      </c>
      <c r="AR36" s="56">
        <f>IF(AR$1&lt;=$B36,0,1-_xlfn.POISSON.DIST(AR$1,$B36,FALSE)/(_xlfn.POISSON.DIST(AR$1,$B36,FALSE)+(1-$B36/AR$1)*_xlfn.POISSON.DIST(AR$1-1,$B36,TRUE))*EXP(-(AR$1-$B36)*'Staffing Calculator'!$B$5/'Staffing Calculator'!$B$6))</f>
        <v/>
      </c>
      <c r="AS36" s="56">
        <f>IF(AS$1&lt;=$B36,0,1-_xlfn.POISSON.DIST(AS$1,$B36,FALSE)/(_xlfn.POISSON.DIST(AS$1,$B36,FALSE)+(1-$B36/AS$1)*_xlfn.POISSON.DIST(AS$1-1,$B36,TRUE))*EXP(-(AS$1-$B36)*'Staffing Calculator'!$B$5/'Staffing Calculator'!$B$6))</f>
        <v/>
      </c>
      <c r="AT36" s="56">
        <f>IF(AT$1&lt;=$B36,0,1-_xlfn.POISSON.DIST(AT$1,$B36,FALSE)/(_xlfn.POISSON.DIST(AT$1,$B36,FALSE)+(1-$B36/AT$1)*_xlfn.POISSON.DIST(AT$1-1,$B36,TRUE))*EXP(-(AT$1-$B36)*'Staffing Calculator'!$B$5/'Staffing Calculator'!$B$6))</f>
        <v/>
      </c>
      <c r="AU36" s="56">
        <f>IF(AU$1&lt;=$B36,0,1-_xlfn.POISSON.DIST(AU$1,$B36,FALSE)/(_xlfn.POISSON.DIST(AU$1,$B36,FALSE)+(1-$B36/AU$1)*_xlfn.POISSON.DIST(AU$1-1,$B36,TRUE))*EXP(-(AU$1-$B36)*'Staffing Calculator'!$B$5/'Staffing Calculator'!$B$6))</f>
        <v/>
      </c>
      <c r="AV36" s="56">
        <f>IF(AV$1&lt;=$B36,0,1-_xlfn.POISSON.DIST(AV$1,$B36,FALSE)/(_xlfn.POISSON.DIST(AV$1,$B36,FALSE)+(1-$B36/AV$1)*_xlfn.POISSON.DIST(AV$1-1,$B36,TRUE))*EXP(-(AV$1-$B36)*'Staffing Calculator'!$B$5/'Staffing Calculator'!$B$6))</f>
        <v/>
      </c>
      <c r="AW36" s="56">
        <f>IF(AW$1&lt;=$B36,0,1-_xlfn.POISSON.DIST(AW$1,$B36,FALSE)/(_xlfn.POISSON.DIST(AW$1,$B36,FALSE)+(1-$B36/AW$1)*_xlfn.POISSON.DIST(AW$1-1,$B36,TRUE))*EXP(-(AW$1-$B36)*'Staffing Calculator'!$B$5/'Staffing Calculator'!$B$6))</f>
        <v/>
      </c>
      <c r="AX36" s="56">
        <f>IF(AX$1&lt;=$B36,0,1-_xlfn.POISSON.DIST(AX$1,$B36,FALSE)/(_xlfn.POISSON.DIST(AX$1,$B36,FALSE)+(1-$B36/AX$1)*_xlfn.POISSON.DIST(AX$1-1,$B36,TRUE))*EXP(-(AX$1-$B36)*'Staffing Calculator'!$B$5/'Staffing Calculator'!$B$6))</f>
        <v/>
      </c>
      <c r="AY36" s="56">
        <f>IF(AY$1&lt;=$B36,0,1-_xlfn.POISSON.DIST(AY$1,$B36,FALSE)/(_xlfn.POISSON.DIST(AY$1,$B36,FALSE)+(1-$B36/AY$1)*_xlfn.POISSON.DIST(AY$1-1,$B36,TRUE))*EXP(-(AY$1-$B36)*'Staffing Calculator'!$B$5/'Staffing Calculator'!$B$6))</f>
        <v/>
      </c>
      <c r="AZ36" s="56">
        <f>IF(AZ$1&lt;=$B36,0,1-_xlfn.POISSON.DIST(AZ$1,$B36,FALSE)/(_xlfn.POISSON.DIST(AZ$1,$B36,FALSE)+(1-$B36/AZ$1)*_xlfn.POISSON.DIST(AZ$1-1,$B36,TRUE))*EXP(-(AZ$1-$B36)*'Staffing Calculator'!$B$5/'Staffing Calculator'!$B$6))</f>
        <v/>
      </c>
      <c r="BA36" s="56">
        <f>IF(BA$1&lt;=$B36,0,1-_xlfn.POISSON.DIST(BA$1,$B36,FALSE)/(_xlfn.POISSON.DIST(BA$1,$B36,FALSE)+(1-$B36/BA$1)*_xlfn.POISSON.DIST(BA$1-1,$B36,TRUE))*EXP(-(BA$1-$B36)*'Staffing Calculator'!$B$5/'Staffing Calculator'!$B$6))</f>
        <v/>
      </c>
      <c r="BB36" s="56">
        <f>IF(BB$1&lt;=$B36,0,1-_xlfn.POISSON.DIST(BB$1,$B36,FALSE)/(_xlfn.POISSON.DIST(BB$1,$B36,FALSE)+(1-$B36/BB$1)*_xlfn.POISSON.DIST(BB$1-1,$B36,TRUE))*EXP(-(BB$1-$B36)*'Staffing Calculator'!$B$5/'Staffing Calculator'!$B$6))</f>
        <v/>
      </c>
      <c r="BC36" s="56">
        <f>IF(BC$1&lt;=$B36,0,1-_xlfn.POISSON.DIST(BC$1,$B36,FALSE)/(_xlfn.POISSON.DIST(BC$1,$B36,FALSE)+(1-$B36/BC$1)*_xlfn.POISSON.DIST(BC$1-1,$B36,TRUE))*EXP(-(BC$1-$B36)*'Staffing Calculator'!$B$5/'Staffing Calculator'!$B$6))</f>
        <v/>
      </c>
      <c r="BD36" s="56">
        <f>IF(BD$1&lt;=$B36,0,1-_xlfn.POISSON.DIST(BD$1,$B36,FALSE)/(_xlfn.POISSON.DIST(BD$1,$B36,FALSE)+(1-$B36/BD$1)*_xlfn.POISSON.DIST(BD$1-1,$B36,TRUE))*EXP(-(BD$1-$B36)*'Staffing Calculator'!$B$5/'Staffing Calculator'!$B$6))</f>
        <v/>
      </c>
      <c r="BE36" s="56">
        <f>IF(BE$1&lt;=$B36,0,1-_xlfn.POISSON.DIST(BE$1,$B36,FALSE)/(_xlfn.POISSON.DIST(BE$1,$B36,FALSE)+(1-$B36/BE$1)*_xlfn.POISSON.DIST(BE$1-1,$B36,TRUE))*EXP(-(BE$1-$B36)*'Staffing Calculator'!$B$5/'Staffing Calculator'!$B$6))</f>
        <v/>
      </c>
      <c r="BF36" s="56">
        <f>IF(BF$1&lt;=$B36,0,1-_xlfn.POISSON.DIST(BF$1,$B36,FALSE)/(_xlfn.POISSON.DIST(BF$1,$B36,FALSE)+(1-$B36/BF$1)*_xlfn.POISSON.DIST(BF$1-1,$B36,TRUE))*EXP(-(BF$1-$B36)*'Staffing Calculator'!$B$5/'Staffing Calculator'!$B$6))</f>
        <v/>
      </c>
      <c r="BG36" s="56">
        <f>IF(BG$1&lt;=$B36,0,1-_xlfn.POISSON.DIST(BG$1,$B36,FALSE)/(_xlfn.POISSON.DIST(BG$1,$B36,FALSE)+(1-$B36/BG$1)*_xlfn.POISSON.DIST(BG$1-1,$B36,TRUE))*EXP(-(BG$1-$B36)*'Staffing Calculator'!$B$5/'Staffing Calculator'!$B$6))</f>
        <v/>
      </c>
      <c r="BH36" s="56">
        <f>IF(BH$1&lt;=$B36,0,1-_xlfn.POISSON.DIST(BH$1,$B36,FALSE)/(_xlfn.POISSON.DIST(BH$1,$B36,FALSE)+(1-$B36/BH$1)*_xlfn.POISSON.DIST(BH$1-1,$B36,TRUE))*EXP(-(BH$1-$B36)*'Staffing Calculator'!$B$5/'Staffing Calculator'!$B$6))</f>
        <v/>
      </c>
      <c r="BI36" s="56">
        <f>IF(BI$1&lt;=$B36,0,1-_xlfn.POISSON.DIST(BI$1,$B36,FALSE)/(_xlfn.POISSON.DIST(BI$1,$B36,FALSE)+(1-$B36/BI$1)*_xlfn.POISSON.DIST(BI$1-1,$B36,TRUE))*EXP(-(BI$1-$B36)*'Staffing Calculator'!$B$5/'Staffing Calculator'!$B$6))</f>
        <v/>
      </c>
      <c r="BJ36" s="56">
        <f>IF(BJ$1&lt;=$B36,0,1-_xlfn.POISSON.DIST(BJ$1,$B36,FALSE)/(_xlfn.POISSON.DIST(BJ$1,$B36,FALSE)+(1-$B36/BJ$1)*_xlfn.POISSON.DIST(BJ$1-1,$B36,TRUE))*EXP(-(BJ$1-$B36)*'Staffing Calculator'!$B$5/'Staffing Calculator'!$B$6))</f>
        <v/>
      </c>
    </row>
    <row r="37">
      <c r="A37" s="54">
        <f>'Staffing Calculator'!A37</f>
        <v/>
      </c>
      <c r="B37" s="55">
        <f>'Staffing Calculator'!C37</f>
        <v/>
      </c>
      <c r="C37" s="56">
        <f>IF(C$1&lt;=$B37,0,1-_xlfn.POISSON.DIST(C$1,$B37,FALSE)/(_xlfn.POISSON.DIST(C$1,$B37,FALSE)+(1-$B37/C$1)*_xlfn.POISSON.DIST(C$1-1,$B37,TRUE))*EXP(-(C$1-$B37)*'Staffing Calculator'!$B$5/'Staffing Calculator'!$B$6))</f>
        <v/>
      </c>
      <c r="D37" s="56">
        <f>IF(D$1&lt;=$B37,0,1-_xlfn.POISSON.DIST(D$1,$B37,FALSE)/(_xlfn.POISSON.DIST(D$1,$B37,FALSE)+(1-$B37/D$1)*_xlfn.POISSON.DIST(D$1-1,$B37,TRUE))*EXP(-(D$1-$B37)*'Staffing Calculator'!$B$5/'Staffing Calculator'!$B$6))</f>
        <v/>
      </c>
      <c r="E37" s="56">
        <f>IF(E$1&lt;=$B37,0,1-_xlfn.POISSON.DIST(E$1,$B37,FALSE)/(_xlfn.POISSON.DIST(E$1,$B37,FALSE)+(1-$B37/E$1)*_xlfn.POISSON.DIST(E$1-1,$B37,TRUE))*EXP(-(E$1-$B37)*'Staffing Calculator'!$B$5/'Staffing Calculator'!$B$6))</f>
        <v/>
      </c>
      <c r="F37" s="56">
        <f>IF(F$1&lt;=$B37,0,1-_xlfn.POISSON.DIST(F$1,$B37,FALSE)/(_xlfn.POISSON.DIST(F$1,$B37,FALSE)+(1-$B37/F$1)*_xlfn.POISSON.DIST(F$1-1,$B37,TRUE))*EXP(-(F$1-$B37)*'Staffing Calculator'!$B$5/'Staffing Calculator'!$B$6))</f>
        <v/>
      </c>
      <c r="G37" s="56">
        <f>IF(G$1&lt;=$B37,0,1-_xlfn.POISSON.DIST(G$1,$B37,FALSE)/(_xlfn.POISSON.DIST(G$1,$B37,FALSE)+(1-$B37/G$1)*_xlfn.POISSON.DIST(G$1-1,$B37,TRUE))*EXP(-(G$1-$B37)*'Staffing Calculator'!$B$5/'Staffing Calculator'!$B$6))</f>
        <v/>
      </c>
      <c r="H37" s="56">
        <f>IF(H$1&lt;=$B37,0,1-_xlfn.POISSON.DIST(H$1,$B37,FALSE)/(_xlfn.POISSON.DIST(H$1,$B37,FALSE)+(1-$B37/H$1)*_xlfn.POISSON.DIST(H$1-1,$B37,TRUE))*EXP(-(H$1-$B37)*'Staffing Calculator'!$B$5/'Staffing Calculator'!$B$6))</f>
        <v/>
      </c>
      <c r="I37" s="56">
        <f>IF(I$1&lt;=$B37,0,1-_xlfn.POISSON.DIST(I$1,$B37,FALSE)/(_xlfn.POISSON.DIST(I$1,$B37,FALSE)+(1-$B37/I$1)*_xlfn.POISSON.DIST(I$1-1,$B37,TRUE))*EXP(-(I$1-$B37)*'Staffing Calculator'!$B$5/'Staffing Calculator'!$B$6))</f>
        <v/>
      </c>
      <c r="J37" s="56">
        <f>IF(J$1&lt;=$B37,0,1-_xlfn.POISSON.DIST(J$1,$B37,FALSE)/(_xlfn.POISSON.DIST(J$1,$B37,FALSE)+(1-$B37/J$1)*_xlfn.POISSON.DIST(J$1-1,$B37,TRUE))*EXP(-(J$1-$B37)*'Staffing Calculator'!$B$5/'Staffing Calculator'!$B$6))</f>
        <v/>
      </c>
      <c r="K37" s="56">
        <f>IF(K$1&lt;=$B37,0,1-_xlfn.POISSON.DIST(K$1,$B37,FALSE)/(_xlfn.POISSON.DIST(K$1,$B37,FALSE)+(1-$B37/K$1)*_xlfn.POISSON.DIST(K$1-1,$B37,TRUE))*EXP(-(K$1-$B37)*'Staffing Calculator'!$B$5/'Staffing Calculator'!$B$6))</f>
        <v/>
      </c>
      <c r="L37" s="56">
        <f>IF(L$1&lt;=$B37,0,1-_xlfn.POISSON.DIST(L$1,$B37,FALSE)/(_xlfn.POISSON.DIST(L$1,$B37,FALSE)+(1-$B37/L$1)*_xlfn.POISSON.DIST(L$1-1,$B37,TRUE))*EXP(-(L$1-$B37)*'Staffing Calculator'!$B$5/'Staffing Calculator'!$B$6))</f>
        <v/>
      </c>
      <c r="M37" s="56">
        <f>IF(M$1&lt;=$B37,0,1-_xlfn.POISSON.DIST(M$1,$B37,FALSE)/(_xlfn.POISSON.DIST(M$1,$B37,FALSE)+(1-$B37/M$1)*_xlfn.POISSON.DIST(M$1-1,$B37,TRUE))*EXP(-(M$1-$B37)*'Staffing Calculator'!$B$5/'Staffing Calculator'!$B$6))</f>
        <v/>
      </c>
      <c r="N37" s="56">
        <f>IF(N$1&lt;=$B37,0,1-_xlfn.POISSON.DIST(N$1,$B37,FALSE)/(_xlfn.POISSON.DIST(N$1,$B37,FALSE)+(1-$B37/N$1)*_xlfn.POISSON.DIST(N$1-1,$B37,TRUE))*EXP(-(N$1-$B37)*'Staffing Calculator'!$B$5/'Staffing Calculator'!$B$6))</f>
        <v/>
      </c>
      <c r="O37" s="56">
        <f>IF(O$1&lt;=$B37,0,1-_xlfn.POISSON.DIST(O$1,$B37,FALSE)/(_xlfn.POISSON.DIST(O$1,$B37,FALSE)+(1-$B37/O$1)*_xlfn.POISSON.DIST(O$1-1,$B37,TRUE))*EXP(-(O$1-$B37)*'Staffing Calculator'!$B$5/'Staffing Calculator'!$B$6))</f>
        <v/>
      </c>
      <c r="P37" s="56">
        <f>IF(P$1&lt;=$B37,0,1-_xlfn.POISSON.DIST(P$1,$B37,FALSE)/(_xlfn.POISSON.DIST(P$1,$B37,FALSE)+(1-$B37/P$1)*_xlfn.POISSON.DIST(P$1-1,$B37,TRUE))*EXP(-(P$1-$B37)*'Staffing Calculator'!$B$5/'Staffing Calculator'!$B$6))</f>
        <v/>
      </c>
      <c r="Q37" s="56">
        <f>IF(Q$1&lt;=$B37,0,1-_xlfn.POISSON.DIST(Q$1,$B37,FALSE)/(_xlfn.POISSON.DIST(Q$1,$B37,FALSE)+(1-$B37/Q$1)*_xlfn.POISSON.DIST(Q$1-1,$B37,TRUE))*EXP(-(Q$1-$B37)*'Staffing Calculator'!$B$5/'Staffing Calculator'!$B$6))</f>
        <v/>
      </c>
      <c r="R37" s="56">
        <f>IF(R$1&lt;=$B37,0,1-_xlfn.POISSON.DIST(R$1,$B37,FALSE)/(_xlfn.POISSON.DIST(R$1,$B37,FALSE)+(1-$B37/R$1)*_xlfn.POISSON.DIST(R$1-1,$B37,TRUE))*EXP(-(R$1-$B37)*'Staffing Calculator'!$B$5/'Staffing Calculator'!$B$6))</f>
        <v/>
      </c>
      <c r="S37" s="56">
        <f>IF(S$1&lt;=$B37,0,1-_xlfn.POISSON.DIST(S$1,$B37,FALSE)/(_xlfn.POISSON.DIST(S$1,$B37,FALSE)+(1-$B37/S$1)*_xlfn.POISSON.DIST(S$1-1,$B37,TRUE))*EXP(-(S$1-$B37)*'Staffing Calculator'!$B$5/'Staffing Calculator'!$B$6))</f>
        <v/>
      </c>
      <c r="T37" s="56">
        <f>IF(T$1&lt;=$B37,0,1-_xlfn.POISSON.DIST(T$1,$B37,FALSE)/(_xlfn.POISSON.DIST(T$1,$B37,FALSE)+(1-$B37/T$1)*_xlfn.POISSON.DIST(T$1-1,$B37,TRUE))*EXP(-(T$1-$B37)*'Staffing Calculator'!$B$5/'Staffing Calculator'!$B$6))</f>
        <v/>
      </c>
      <c r="U37" s="56">
        <f>IF(U$1&lt;=$B37,0,1-_xlfn.POISSON.DIST(U$1,$B37,FALSE)/(_xlfn.POISSON.DIST(U$1,$B37,FALSE)+(1-$B37/U$1)*_xlfn.POISSON.DIST(U$1-1,$B37,TRUE))*EXP(-(U$1-$B37)*'Staffing Calculator'!$B$5/'Staffing Calculator'!$B$6))</f>
        <v/>
      </c>
      <c r="V37" s="56">
        <f>IF(V$1&lt;=$B37,0,1-_xlfn.POISSON.DIST(V$1,$B37,FALSE)/(_xlfn.POISSON.DIST(V$1,$B37,FALSE)+(1-$B37/V$1)*_xlfn.POISSON.DIST(V$1-1,$B37,TRUE))*EXP(-(V$1-$B37)*'Staffing Calculator'!$B$5/'Staffing Calculator'!$B$6))</f>
        <v/>
      </c>
      <c r="W37" s="56">
        <f>IF(W$1&lt;=$B37,0,1-_xlfn.POISSON.DIST(W$1,$B37,FALSE)/(_xlfn.POISSON.DIST(W$1,$B37,FALSE)+(1-$B37/W$1)*_xlfn.POISSON.DIST(W$1-1,$B37,TRUE))*EXP(-(W$1-$B37)*'Staffing Calculator'!$B$5/'Staffing Calculator'!$B$6))</f>
        <v/>
      </c>
      <c r="X37" s="56">
        <f>IF(X$1&lt;=$B37,0,1-_xlfn.POISSON.DIST(X$1,$B37,FALSE)/(_xlfn.POISSON.DIST(X$1,$B37,FALSE)+(1-$B37/X$1)*_xlfn.POISSON.DIST(X$1-1,$B37,TRUE))*EXP(-(X$1-$B37)*'Staffing Calculator'!$B$5/'Staffing Calculator'!$B$6))</f>
        <v/>
      </c>
      <c r="Y37" s="56">
        <f>IF(Y$1&lt;=$B37,0,1-_xlfn.POISSON.DIST(Y$1,$B37,FALSE)/(_xlfn.POISSON.DIST(Y$1,$B37,FALSE)+(1-$B37/Y$1)*_xlfn.POISSON.DIST(Y$1-1,$B37,TRUE))*EXP(-(Y$1-$B37)*'Staffing Calculator'!$B$5/'Staffing Calculator'!$B$6))</f>
        <v/>
      </c>
      <c r="Z37" s="56">
        <f>IF(Z$1&lt;=$B37,0,1-_xlfn.POISSON.DIST(Z$1,$B37,FALSE)/(_xlfn.POISSON.DIST(Z$1,$B37,FALSE)+(1-$B37/Z$1)*_xlfn.POISSON.DIST(Z$1-1,$B37,TRUE))*EXP(-(Z$1-$B37)*'Staffing Calculator'!$B$5/'Staffing Calculator'!$B$6))</f>
        <v/>
      </c>
      <c r="AA37" s="56">
        <f>IF(AA$1&lt;=$B37,0,1-_xlfn.POISSON.DIST(AA$1,$B37,FALSE)/(_xlfn.POISSON.DIST(AA$1,$B37,FALSE)+(1-$B37/AA$1)*_xlfn.POISSON.DIST(AA$1-1,$B37,TRUE))*EXP(-(AA$1-$B37)*'Staffing Calculator'!$B$5/'Staffing Calculator'!$B$6))</f>
        <v/>
      </c>
      <c r="AB37" s="56">
        <f>IF(AB$1&lt;=$B37,0,1-_xlfn.POISSON.DIST(AB$1,$B37,FALSE)/(_xlfn.POISSON.DIST(AB$1,$B37,FALSE)+(1-$B37/AB$1)*_xlfn.POISSON.DIST(AB$1-1,$B37,TRUE))*EXP(-(AB$1-$B37)*'Staffing Calculator'!$B$5/'Staffing Calculator'!$B$6))</f>
        <v/>
      </c>
      <c r="AC37" s="56">
        <f>IF(AC$1&lt;=$B37,0,1-_xlfn.POISSON.DIST(AC$1,$B37,FALSE)/(_xlfn.POISSON.DIST(AC$1,$B37,FALSE)+(1-$B37/AC$1)*_xlfn.POISSON.DIST(AC$1-1,$B37,TRUE))*EXP(-(AC$1-$B37)*'Staffing Calculator'!$B$5/'Staffing Calculator'!$B$6))</f>
        <v/>
      </c>
      <c r="AD37" s="56">
        <f>IF(AD$1&lt;=$B37,0,1-_xlfn.POISSON.DIST(AD$1,$B37,FALSE)/(_xlfn.POISSON.DIST(AD$1,$B37,FALSE)+(1-$B37/AD$1)*_xlfn.POISSON.DIST(AD$1-1,$B37,TRUE))*EXP(-(AD$1-$B37)*'Staffing Calculator'!$B$5/'Staffing Calculator'!$B$6))</f>
        <v/>
      </c>
      <c r="AE37" s="56">
        <f>IF(AE$1&lt;=$B37,0,1-_xlfn.POISSON.DIST(AE$1,$B37,FALSE)/(_xlfn.POISSON.DIST(AE$1,$B37,FALSE)+(1-$B37/AE$1)*_xlfn.POISSON.DIST(AE$1-1,$B37,TRUE))*EXP(-(AE$1-$B37)*'Staffing Calculator'!$B$5/'Staffing Calculator'!$B$6))</f>
        <v/>
      </c>
      <c r="AF37" s="56">
        <f>IF(AF$1&lt;=$B37,0,1-_xlfn.POISSON.DIST(AF$1,$B37,FALSE)/(_xlfn.POISSON.DIST(AF$1,$B37,FALSE)+(1-$B37/AF$1)*_xlfn.POISSON.DIST(AF$1-1,$B37,TRUE))*EXP(-(AF$1-$B37)*'Staffing Calculator'!$B$5/'Staffing Calculator'!$B$6))</f>
        <v/>
      </c>
      <c r="AG37" s="56">
        <f>IF(AG$1&lt;=$B37,0,1-_xlfn.POISSON.DIST(AG$1,$B37,FALSE)/(_xlfn.POISSON.DIST(AG$1,$B37,FALSE)+(1-$B37/AG$1)*_xlfn.POISSON.DIST(AG$1-1,$B37,TRUE))*EXP(-(AG$1-$B37)*'Staffing Calculator'!$B$5/'Staffing Calculator'!$B$6))</f>
        <v/>
      </c>
      <c r="AH37" s="56">
        <f>IF(AH$1&lt;=$B37,0,1-_xlfn.POISSON.DIST(AH$1,$B37,FALSE)/(_xlfn.POISSON.DIST(AH$1,$B37,FALSE)+(1-$B37/AH$1)*_xlfn.POISSON.DIST(AH$1-1,$B37,TRUE))*EXP(-(AH$1-$B37)*'Staffing Calculator'!$B$5/'Staffing Calculator'!$B$6))</f>
        <v/>
      </c>
      <c r="AI37" s="56">
        <f>IF(AI$1&lt;=$B37,0,1-_xlfn.POISSON.DIST(AI$1,$B37,FALSE)/(_xlfn.POISSON.DIST(AI$1,$B37,FALSE)+(1-$B37/AI$1)*_xlfn.POISSON.DIST(AI$1-1,$B37,TRUE))*EXP(-(AI$1-$B37)*'Staffing Calculator'!$B$5/'Staffing Calculator'!$B$6))</f>
        <v/>
      </c>
      <c r="AJ37" s="56">
        <f>IF(AJ$1&lt;=$B37,0,1-_xlfn.POISSON.DIST(AJ$1,$B37,FALSE)/(_xlfn.POISSON.DIST(AJ$1,$B37,FALSE)+(1-$B37/AJ$1)*_xlfn.POISSON.DIST(AJ$1-1,$B37,TRUE))*EXP(-(AJ$1-$B37)*'Staffing Calculator'!$B$5/'Staffing Calculator'!$B$6))</f>
        <v/>
      </c>
      <c r="AK37" s="56">
        <f>IF(AK$1&lt;=$B37,0,1-_xlfn.POISSON.DIST(AK$1,$B37,FALSE)/(_xlfn.POISSON.DIST(AK$1,$B37,FALSE)+(1-$B37/AK$1)*_xlfn.POISSON.DIST(AK$1-1,$B37,TRUE))*EXP(-(AK$1-$B37)*'Staffing Calculator'!$B$5/'Staffing Calculator'!$B$6))</f>
        <v/>
      </c>
      <c r="AL37" s="56">
        <f>IF(AL$1&lt;=$B37,0,1-_xlfn.POISSON.DIST(AL$1,$B37,FALSE)/(_xlfn.POISSON.DIST(AL$1,$B37,FALSE)+(1-$B37/AL$1)*_xlfn.POISSON.DIST(AL$1-1,$B37,TRUE))*EXP(-(AL$1-$B37)*'Staffing Calculator'!$B$5/'Staffing Calculator'!$B$6))</f>
        <v/>
      </c>
      <c r="AM37" s="56">
        <f>IF(AM$1&lt;=$B37,0,1-_xlfn.POISSON.DIST(AM$1,$B37,FALSE)/(_xlfn.POISSON.DIST(AM$1,$B37,FALSE)+(1-$B37/AM$1)*_xlfn.POISSON.DIST(AM$1-1,$B37,TRUE))*EXP(-(AM$1-$B37)*'Staffing Calculator'!$B$5/'Staffing Calculator'!$B$6))</f>
        <v/>
      </c>
      <c r="AN37" s="56">
        <f>IF(AN$1&lt;=$B37,0,1-_xlfn.POISSON.DIST(AN$1,$B37,FALSE)/(_xlfn.POISSON.DIST(AN$1,$B37,FALSE)+(1-$B37/AN$1)*_xlfn.POISSON.DIST(AN$1-1,$B37,TRUE))*EXP(-(AN$1-$B37)*'Staffing Calculator'!$B$5/'Staffing Calculator'!$B$6))</f>
        <v/>
      </c>
      <c r="AO37" s="56">
        <f>IF(AO$1&lt;=$B37,0,1-_xlfn.POISSON.DIST(AO$1,$B37,FALSE)/(_xlfn.POISSON.DIST(AO$1,$B37,FALSE)+(1-$B37/AO$1)*_xlfn.POISSON.DIST(AO$1-1,$B37,TRUE))*EXP(-(AO$1-$B37)*'Staffing Calculator'!$B$5/'Staffing Calculator'!$B$6))</f>
        <v/>
      </c>
      <c r="AP37" s="56">
        <f>IF(AP$1&lt;=$B37,0,1-_xlfn.POISSON.DIST(AP$1,$B37,FALSE)/(_xlfn.POISSON.DIST(AP$1,$B37,FALSE)+(1-$B37/AP$1)*_xlfn.POISSON.DIST(AP$1-1,$B37,TRUE))*EXP(-(AP$1-$B37)*'Staffing Calculator'!$B$5/'Staffing Calculator'!$B$6))</f>
        <v/>
      </c>
      <c r="AQ37" s="56">
        <f>IF(AQ$1&lt;=$B37,0,1-_xlfn.POISSON.DIST(AQ$1,$B37,FALSE)/(_xlfn.POISSON.DIST(AQ$1,$B37,FALSE)+(1-$B37/AQ$1)*_xlfn.POISSON.DIST(AQ$1-1,$B37,TRUE))*EXP(-(AQ$1-$B37)*'Staffing Calculator'!$B$5/'Staffing Calculator'!$B$6))</f>
        <v/>
      </c>
      <c r="AR37" s="56">
        <f>IF(AR$1&lt;=$B37,0,1-_xlfn.POISSON.DIST(AR$1,$B37,FALSE)/(_xlfn.POISSON.DIST(AR$1,$B37,FALSE)+(1-$B37/AR$1)*_xlfn.POISSON.DIST(AR$1-1,$B37,TRUE))*EXP(-(AR$1-$B37)*'Staffing Calculator'!$B$5/'Staffing Calculator'!$B$6))</f>
        <v/>
      </c>
      <c r="AS37" s="56">
        <f>IF(AS$1&lt;=$B37,0,1-_xlfn.POISSON.DIST(AS$1,$B37,FALSE)/(_xlfn.POISSON.DIST(AS$1,$B37,FALSE)+(1-$B37/AS$1)*_xlfn.POISSON.DIST(AS$1-1,$B37,TRUE))*EXP(-(AS$1-$B37)*'Staffing Calculator'!$B$5/'Staffing Calculator'!$B$6))</f>
        <v/>
      </c>
      <c r="AT37" s="56">
        <f>IF(AT$1&lt;=$B37,0,1-_xlfn.POISSON.DIST(AT$1,$B37,FALSE)/(_xlfn.POISSON.DIST(AT$1,$B37,FALSE)+(1-$B37/AT$1)*_xlfn.POISSON.DIST(AT$1-1,$B37,TRUE))*EXP(-(AT$1-$B37)*'Staffing Calculator'!$B$5/'Staffing Calculator'!$B$6))</f>
        <v/>
      </c>
      <c r="AU37" s="56">
        <f>IF(AU$1&lt;=$B37,0,1-_xlfn.POISSON.DIST(AU$1,$B37,FALSE)/(_xlfn.POISSON.DIST(AU$1,$B37,FALSE)+(1-$B37/AU$1)*_xlfn.POISSON.DIST(AU$1-1,$B37,TRUE))*EXP(-(AU$1-$B37)*'Staffing Calculator'!$B$5/'Staffing Calculator'!$B$6))</f>
        <v/>
      </c>
      <c r="AV37" s="56">
        <f>IF(AV$1&lt;=$B37,0,1-_xlfn.POISSON.DIST(AV$1,$B37,FALSE)/(_xlfn.POISSON.DIST(AV$1,$B37,FALSE)+(1-$B37/AV$1)*_xlfn.POISSON.DIST(AV$1-1,$B37,TRUE))*EXP(-(AV$1-$B37)*'Staffing Calculator'!$B$5/'Staffing Calculator'!$B$6))</f>
        <v/>
      </c>
      <c r="AW37" s="56">
        <f>IF(AW$1&lt;=$B37,0,1-_xlfn.POISSON.DIST(AW$1,$B37,FALSE)/(_xlfn.POISSON.DIST(AW$1,$B37,FALSE)+(1-$B37/AW$1)*_xlfn.POISSON.DIST(AW$1-1,$B37,TRUE))*EXP(-(AW$1-$B37)*'Staffing Calculator'!$B$5/'Staffing Calculator'!$B$6))</f>
        <v/>
      </c>
      <c r="AX37" s="56">
        <f>IF(AX$1&lt;=$B37,0,1-_xlfn.POISSON.DIST(AX$1,$B37,FALSE)/(_xlfn.POISSON.DIST(AX$1,$B37,FALSE)+(1-$B37/AX$1)*_xlfn.POISSON.DIST(AX$1-1,$B37,TRUE))*EXP(-(AX$1-$B37)*'Staffing Calculator'!$B$5/'Staffing Calculator'!$B$6))</f>
        <v/>
      </c>
      <c r="AY37" s="56">
        <f>IF(AY$1&lt;=$B37,0,1-_xlfn.POISSON.DIST(AY$1,$B37,FALSE)/(_xlfn.POISSON.DIST(AY$1,$B37,FALSE)+(1-$B37/AY$1)*_xlfn.POISSON.DIST(AY$1-1,$B37,TRUE))*EXP(-(AY$1-$B37)*'Staffing Calculator'!$B$5/'Staffing Calculator'!$B$6))</f>
        <v/>
      </c>
      <c r="AZ37" s="56">
        <f>IF(AZ$1&lt;=$B37,0,1-_xlfn.POISSON.DIST(AZ$1,$B37,FALSE)/(_xlfn.POISSON.DIST(AZ$1,$B37,FALSE)+(1-$B37/AZ$1)*_xlfn.POISSON.DIST(AZ$1-1,$B37,TRUE))*EXP(-(AZ$1-$B37)*'Staffing Calculator'!$B$5/'Staffing Calculator'!$B$6))</f>
        <v/>
      </c>
      <c r="BA37" s="56">
        <f>IF(BA$1&lt;=$B37,0,1-_xlfn.POISSON.DIST(BA$1,$B37,FALSE)/(_xlfn.POISSON.DIST(BA$1,$B37,FALSE)+(1-$B37/BA$1)*_xlfn.POISSON.DIST(BA$1-1,$B37,TRUE))*EXP(-(BA$1-$B37)*'Staffing Calculator'!$B$5/'Staffing Calculator'!$B$6))</f>
        <v/>
      </c>
      <c r="BB37" s="56">
        <f>IF(BB$1&lt;=$B37,0,1-_xlfn.POISSON.DIST(BB$1,$B37,FALSE)/(_xlfn.POISSON.DIST(BB$1,$B37,FALSE)+(1-$B37/BB$1)*_xlfn.POISSON.DIST(BB$1-1,$B37,TRUE))*EXP(-(BB$1-$B37)*'Staffing Calculator'!$B$5/'Staffing Calculator'!$B$6))</f>
        <v/>
      </c>
      <c r="BC37" s="56">
        <f>IF(BC$1&lt;=$B37,0,1-_xlfn.POISSON.DIST(BC$1,$B37,FALSE)/(_xlfn.POISSON.DIST(BC$1,$B37,FALSE)+(1-$B37/BC$1)*_xlfn.POISSON.DIST(BC$1-1,$B37,TRUE))*EXP(-(BC$1-$B37)*'Staffing Calculator'!$B$5/'Staffing Calculator'!$B$6))</f>
        <v/>
      </c>
      <c r="BD37" s="56">
        <f>IF(BD$1&lt;=$B37,0,1-_xlfn.POISSON.DIST(BD$1,$B37,FALSE)/(_xlfn.POISSON.DIST(BD$1,$B37,FALSE)+(1-$B37/BD$1)*_xlfn.POISSON.DIST(BD$1-1,$B37,TRUE))*EXP(-(BD$1-$B37)*'Staffing Calculator'!$B$5/'Staffing Calculator'!$B$6))</f>
        <v/>
      </c>
      <c r="BE37" s="56">
        <f>IF(BE$1&lt;=$B37,0,1-_xlfn.POISSON.DIST(BE$1,$B37,FALSE)/(_xlfn.POISSON.DIST(BE$1,$B37,FALSE)+(1-$B37/BE$1)*_xlfn.POISSON.DIST(BE$1-1,$B37,TRUE))*EXP(-(BE$1-$B37)*'Staffing Calculator'!$B$5/'Staffing Calculator'!$B$6))</f>
        <v/>
      </c>
      <c r="BF37" s="56">
        <f>IF(BF$1&lt;=$B37,0,1-_xlfn.POISSON.DIST(BF$1,$B37,FALSE)/(_xlfn.POISSON.DIST(BF$1,$B37,FALSE)+(1-$B37/BF$1)*_xlfn.POISSON.DIST(BF$1-1,$B37,TRUE))*EXP(-(BF$1-$B37)*'Staffing Calculator'!$B$5/'Staffing Calculator'!$B$6))</f>
        <v/>
      </c>
      <c r="BG37" s="56">
        <f>IF(BG$1&lt;=$B37,0,1-_xlfn.POISSON.DIST(BG$1,$B37,FALSE)/(_xlfn.POISSON.DIST(BG$1,$B37,FALSE)+(1-$B37/BG$1)*_xlfn.POISSON.DIST(BG$1-1,$B37,TRUE))*EXP(-(BG$1-$B37)*'Staffing Calculator'!$B$5/'Staffing Calculator'!$B$6))</f>
        <v/>
      </c>
      <c r="BH37" s="56">
        <f>IF(BH$1&lt;=$B37,0,1-_xlfn.POISSON.DIST(BH$1,$B37,FALSE)/(_xlfn.POISSON.DIST(BH$1,$B37,FALSE)+(1-$B37/BH$1)*_xlfn.POISSON.DIST(BH$1-1,$B37,TRUE))*EXP(-(BH$1-$B37)*'Staffing Calculator'!$B$5/'Staffing Calculator'!$B$6))</f>
        <v/>
      </c>
      <c r="BI37" s="56">
        <f>IF(BI$1&lt;=$B37,0,1-_xlfn.POISSON.DIST(BI$1,$B37,FALSE)/(_xlfn.POISSON.DIST(BI$1,$B37,FALSE)+(1-$B37/BI$1)*_xlfn.POISSON.DIST(BI$1-1,$B37,TRUE))*EXP(-(BI$1-$B37)*'Staffing Calculator'!$B$5/'Staffing Calculator'!$B$6))</f>
        <v/>
      </c>
      <c r="BJ37" s="56">
        <f>IF(BJ$1&lt;=$B37,0,1-_xlfn.POISSON.DIST(BJ$1,$B37,FALSE)/(_xlfn.POISSON.DIST(BJ$1,$B37,FALSE)+(1-$B37/BJ$1)*_xlfn.POISSON.DIST(BJ$1-1,$B37,TRUE))*EXP(-(BJ$1-$B37)*'Staffing Calculator'!$B$5/'Staffing Calculator'!$B$6))</f>
        <v/>
      </c>
    </row>
    <row r="38">
      <c r="A38" s="54">
        <f>'Staffing Calculator'!A38</f>
        <v/>
      </c>
      <c r="B38" s="55">
        <f>'Staffing Calculator'!C38</f>
        <v/>
      </c>
      <c r="C38" s="56">
        <f>IF(C$1&lt;=$B38,0,1-_xlfn.POISSON.DIST(C$1,$B38,FALSE)/(_xlfn.POISSON.DIST(C$1,$B38,FALSE)+(1-$B38/C$1)*_xlfn.POISSON.DIST(C$1-1,$B38,TRUE))*EXP(-(C$1-$B38)*'Staffing Calculator'!$B$5/'Staffing Calculator'!$B$6))</f>
        <v/>
      </c>
      <c r="D38" s="56">
        <f>IF(D$1&lt;=$B38,0,1-_xlfn.POISSON.DIST(D$1,$B38,FALSE)/(_xlfn.POISSON.DIST(D$1,$B38,FALSE)+(1-$B38/D$1)*_xlfn.POISSON.DIST(D$1-1,$B38,TRUE))*EXP(-(D$1-$B38)*'Staffing Calculator'!$B$5/'Staffing Calculator'!$B$6))</f>
        <v/>
      </c>
      <c r="E38" s="56">
        <f>IF(E$1&lt;=$B38,0,1-_xlfn.POISSON.DIST(E$1,$B38,FALSE)/(_xlfn.POISSON.DIST(E$1,$B38,FALSE)+(1-$B38/E$1)*_xlfn.POISSON.DIST(E$1-1,$B38,TRUE))*EXP(-(E$1-$B38)*'Staffing Calculator'!$B$5/'Staffing Calculator'!$B$6))</f>
        <v/>
      </c>
      <c r="F38" s="56">
        <f>IF(F$1&lt;=$B38,0,1-_xlfn.POISSON.DIST(F$1,$B38,FALSE)/(_xlfn.POISSON.DIST(F$1,$B38,FALSE)+(1-$B38/F$1)*_xlfn.POISSON.DIST(F$1-1,$B38,TRUE))*EXP(-(F$1-$B38)*'Staffing Calculator'!$B$5/'Staffing Calculator'!$B$6))</f>
        <v/>
      </c>
      <c r="G38" s="56">
        <f>IF(G$1&lt;=$B38,0,1-_xlfn.POISSON.DIST(G$1,$B38,FALSE)/(_xlfn.POISSON.DIST(G$1,$B38,FALSE)+(1-$B38/G$1)*_xlfn.POISSON.DIST(G$1-1,$B38,TRUE))*EXP(-(G$1-$B38)*'Staffing Calculator'!$B$5/'Staffing Calculator'!$B$6))</f>
        <v/>
      </c>
      <c r="H38" s="56">
        <f>IF(H$1&lt;=$B38,0,1-_xlfn.POISSON.DIST(H$1,$B38,FALSE)/(_xlfn.POISSON.DIST(H$1,$B38,FALSE)+(1-$B38/H$1)*_xlfn.POISSON.DIST(H$1-1,$B38,TRUE))*EXP(-(H$1-$B38)*'Staffing Calculator'!$B$5/'Staffing Calculator'!$B$6))</f>
        <v/>
      </c>
      <c r="I38" s="56">
        <f>IF(I$1&lt;=$B38,0,1-_xlfn.POISSON.DIST(I$1,$B38,FALSE)/(_xlfn.POISSON.DIST(I$1,$B38,FALSE)+(1-$B38/I$1)*_xlfn.POISSON.DIST(I$1-1,$B38,TRUE))*EXP(-(I$1-$B38)*'Staffing Calculator'!$B$5/'Staffing Calculator'!$B$6))</f>
        <v/>
      </c>
      <c r="J38" s="56">
        <f>IF(J$1&lt;=$B38,0,1-_xlfn.POISSON.DIST(J$1,$B38,FALSE)/(_xlfn.POISSON.DIST(J$1,$B38,FALSE)+(1-$B38/J$1)*_xlfn.POISSON.DIST(J$1-1,$B38,TRUE))*EXP(-(J$1-$B38)*'Staffing Calculator'!$B$5/'Staffing Calculator'!$B$6))</f>
        <v/>
      </c>
      <c r="K38" s="56">
        <f>IF(K$1&lt;=$B38,0,1-_xlfn.POISSON.DIST(K$1,$B38,FALSE)/(_xlfn.POISSON.DIST(K$1,$B38,FALSE)+(1-$B38/K$1)*_xlfn.POISSON.DIST(K$1-1,$B38,TRUE))*EXP(-(K$1-$B38)*'Staffing Calculator'!$B$5/'Staffing Calculator'!$B$6))</f>
        <v/>
      </c>
      <c r="L38" s="56">
        <f>IF(L$1&lt;=$B38,0,1-_xlfn.POISSON.DIST(L$1,$B38,FALSE)/(_xlfn.POISSON.DIST(L$1,$B38,FALSE)+(1-$B38/L$1)*_xlfn.POISSON.DIST(L$1-1,$B38,TRUE))*EXP(-(L$1-$B38)*'Staffing Calculator'!$B$5/'Staffing Calculator'!$B$6))</f>
        <v/>
      </c>
      <c r="M38" s="56">
        <f>IF(M$1&lt;=$B38,0,1-_xlfn.POISSON.DIST(M$1,$B38,FALSE)/(_xlfn.POISSON.DIST(M$1,$B38,FALSE)+(1-$B38/M$1)*_xlfn.POISSON.DIST(M$1-1,$B38,TRUE))*EXP(-(M$1-$B38)*'Staffing Calculator'!$B$5/'Staffing Calculator'!$B$6))</f>
        <v/>
      </c>
      <c r="N38" s="56">
        <f>IF(N$1&lt;=$B38,0,1-_xlfn.POISSON.DIST(N$1,$B38,FALSE)/(_xlfn.POISSON.DIST(N$1,$B38,FALSE)+(1-$B38/N$1)*_xlfn.POISSON.DIST(N$1-1,$B38,TRUE))*EXP(-(N$1-$B38)*'Staffing Calculator'!$B$5/'Staffing Calculator'!$B$6))</f>
        <v/>
      </c>
      <c r="O38" s="56">
        <f>IF(O$1&lt;=$B38,0,1-_xlfn.POISSON.DIST(O$1,$B38,FALSE)/(_xlfn.POISSON.DIST(O$1,$B38,FALSE)+(1-$B38/O$1)*_xlfn.POISSON.DIST(O$1-1,$B38,TRUE))*EXP(-(O$1-$B38)*'Staffing Calculator'!$B$5/'Staffing Calculator'!$B$6))</f>
        <v/>
      </c>
      <c r="P38" s="56">
        <f>IF(P$1&lt;=$B38,0,1-_xlfn.POISSON.DIST(P$1,$B38,FALSE)/(_xlfn.POISSON.DIST(P$1,$B38,FALSE)+(1-$B38/P$1)*_xlfn.POISSON.DIST(P$1-1,$B38,TRUE))*EXP(-(P$1-$B38)*'Staffing Calculator'!$B$5/'Staffing Calculator'!$B$6))</f>
        <v/>
      </c>
      <c r="Q38" s="56">
        <f>IF(Q$1&lt;=$B38,0,1-_xlfn.POISSON.DIST(Q$1,$B38,FALSE)/(_xlfn.POISSON.DIST(Q$1,$B38,FALSE)+(1-$B38/Q$1)*_xlfn.POISSON.DIST(Q$1-1,$B38,TRUE))*EXP(-(Q$1-$B38)*'Staffing Calculator'!$B$5/'Staffing Calculator'!$B$6))</f>
        <v/>
      </c>
      <c r="R38" s="56">
        <f>IF(R$1&lt;=$B38,0,1-_xlfn.POISSON.DIST(R$1,$B38,FALSE)/(_xlfn.POISSON.DIST(R$1,$B38,FALSE)+(1-$B38/R$1)*_xlfn.POISSON.DIST(R$1-1,$B38,TRUE))*EXP(-(R$1-$B38)*'Staffing Calculator'!$B$5/'Staffing Calculator'!$B$6))</f>
        <v/>
      </c>
      <c r="S38" s="56">
        <f>IF(S$1&lt;=$B38,0,1-_xlfn.POISSON.DIST(S$1,$B38,FALSE)/(_xlfn.POISSON.DIST(S$1,$B38,FALSE)+(1-$B38/S$1)*_xlfn.POISSON.DIST(S$1-1,$B38,TRUE))*EXP(-(S$1-$B38)*'Staffing Calculator'!$B$5/'Staffing Calculator'!$B$6))</f>
        <v/>
      </c>
      <c r="T38" s="56">
        <f>IF(T$1&lt;=$B38,0,1-_xlfn.POISSON.DIST(T$1,$B38,FALSE)/(_xlfn.POISSON.DIST(T$1,$B38,FALSE)+(1-$B38/T$1)*_xlfn.POISSON.DIST(T$1-1,$B38,TRUE))*EXP(-(T$1-$B38)*'Staffing Calculator'!$B$5/'Staffing Calculator'!$B$6))</f>
        <v/>
      </c>
      <c r="U38" s="56">
        <f>IF(U$1&lt;=$B38,0,1-_xlfn.POISSON.DIST(U$1,$B38,FALSE)/(_xlfn.POISSON.DIST(U$1,$B38,FALSE)+(1-$B38/U$1)*_xlfn.POISSON.DIST(U$1-1,$B38,TRUE))*EXP(-(U$1-$B38)*'Staffing Calculator'!$B$5/'Staffing Calculator'!$B$6))</f>
        <v/>
      </c>
      <c r="V38" s="56">
        <f>IF(V$1&lt;=$B38,0,1-_xlfn.POISSON.DIST(V$1,$B38,FALSE)/(_xlfn.POISSON.DIST(V$1,$B38,FALSE)+(1-$B38/V$1)*_xlfn.POISSON.DIST(V$1-1,$B38,TRUE))*EXP(-(V$1-$B38)*'Staffing Calculator'!$B$5/'Staffing Calculator'!$B$6))</f>
        <v/>
      </c>
      <c r="W38" s="56">
        <f>IF(W$1&lt;=$B38,0,1-_xlfn.POISSON.DIST(W$1,$B38,FALSE)/(_xlfn.POISSON.DIST(W$1,$B38,FALSE)+(1-$B38/W$1)*_xlfn.POISSON.DIST(W$1-1,$B38,TRUE))*EXP(-(W$1-$B38)*'Staffing Calculator'!$B$5/'Staffing Calculator'!$B$6))</f>
        <v/>
      </c>
      <c r="X38" s="56">
        <f>IF(X$1&lt;=$B38,0,1-_xlfn.POISSON.DIST(X$1,$B38,FALSE)/(_xlfn.POISSON.DIST(X$1,$B38,FALSE)+(1-$B38/X$1)*_xlfn.POISSON.DIST(X$1-1,$B38,TRUE))*EXP(-(X$1-$B38)*'Staffing Calculator'!$B$5/'Staffing Calculator'!$B$6))</f>
        <v/>
      </c>
      <c r="Y38" s="56">
        <f>IF(Y$1&lt;=$B38,0,1-_xlfn.POISSON.DIST(Y$1,$B38,FALSE)/(_xlfn.POISSON.DIST(Y$1,$B38,FALSE)+(1-$B38/Y$1)*_xlfn.POISSON.DIST(Y$1-1,$B38,TRUE))*EXP(-(Y$1-$B38)*'Staffing Calculator'!$B$5/'Staffing Calculator'!$B$6))</f>
        <v/>
      </c>
      <c r="Z38" s="56">
        <f>IF(Z$1&lt;=$B38,0,1-_xlfn.POISSON.DIST(Z$1,$B38,FALSE)/(_xlfn.POISSON.DIST(Z$1,$B38,FALSE)+(1-$B38/Z$1)*_xlfn.POISSON.DIST(Z$1-1,$B38,TRUE))*EXP(-(Z$1-$B38)*'Staffing Calculator'!$B$5/'Staffing Calculator'!$B$6))</f>
        <v/>
      </c>
      <c r="AA38" s="56">
        <f>IF(AA$1&lt;=$B38,0,1-_xlfn.POISSON.DIST(AA$1,$B38,FALSE)/(_xlfn.POISSON.DIST(AA$1,$B38,FALSE)+(1-$B38/AA$1)*_xlfn.POISSON.DIST(AA$1-1,$B38,TRUE))*EXP(-(AA$1-$B38)*'Staffing Calculator'!$B$5/'Staffing Calculator'!$B$6))</f>
        <v/>
      </c>
      <c r="AB38" s="56">
        <f>IF(AB$1&lt;=$B38,0,1-_xlfn.POISSON.DIST(AB$1,$B38,FALSE)/(_xlfn.POISSON.DIST(AB$1,$B38,FALSE)+(1-$B38/AB$1)*_xlfn.POISSON.DIST(AB$1-1,$B38,TRUE))*EXP(-(AB$1-$B38)*'Staffing Calculator'!$B$5/'Staffing Calculator'!$B$6))</f>
        <v/>
      </c>
      <c r="AC38" s="56">
        <f>IF(AC$1&lt;=$B38,0,1-_xlfn.POISSON.DIST(AC$1,$B38,FALSE)/(_xlfn.POISSON.DIST(AC$1,$B38,FALSE)+(1-$B38/AC$1)*_xlfn.POISSON.DIST(AC$1-1,$B38,TRUE))*EXP(-(AC$1-$B38)*'Staffing Calculator'!$B$5/'Staffing Calculator'!$B$6))</f>
        <v/>
      </c>
      <c r="AD38" s="56">
        <f>IF(AD$1&lt;=$B38,0,1-_xlfn.POISSON.DIST(AD$1,$B38,FALSE)/(_xlfn.POISSON.DIST(AD$1,$B38,FALSE)+(1-$B38/AD$1)*_xlfn.POISSON.DIST(AD$1-1,$B38,TRUE))*EXP(-(AD$1-$B38)*'Staffing Calculator'!$B$5/'Staffing Calculator'!$B$6))</f>
        <v/>
      </c>
      <c r="AE38" s="56">
        <f>IF(AE$1&lt;=$B38,0,1-_xlfn.POISSON.DIST(AE$1,$B38,FALSE)/(_xlfn.POISSON.DIST(AE$1,$B38,FALSE)+(1-$B38/AE$1)*_xlfn.POISSON.DIST(AE$1-1,$B38,TRUE))*EXP(-(AE$1-$B38)*'Staffing Calculator'!$B$5/'Staffing Calculator'!$B$6))</f>
        <v/>
      </c>
      <c r="AF38" s="56">
        <f>IF(AF$1&lt;=$B38,0,1-_xlfn.POISSON.DIST(AF$1,$B38,FALSE)/(_xlfn.POISSON.DIST(AF$1,$B38,FALSE)+(1-$B38/AF$1)*_xlfn.POISSON.DIST(AF$1-1,$B38,TRUE))*EXP(-(AF$1-$B38)*'Staffing Calculator'!$B$5/'Staffing Calculator'!$B$6))</f>
        <v/>
      </c>
      <c r="AG38" s="56">
        <f>IF(AG$1&lt;=$B38,0,1-_xlfn.POISSON.DIST(AG$1,$B38,FALSE)/(_xlfn.POISSON.DIST(AG$1,$B38,FALSE)+(1-$B38/AG$1)*_xlfn.POISSON.DIST(AG$1-1,$B38,TRUE))*EXP(-(AG$1-$B38)*'Staffing Calculator'!$B$5/'Staffing Calculator'!$B$6))</f>
        <v/>
      </c>
      <c r="AH38" s="56">
        <f>IF(AH$1&lt;=$B38,0,1-_xlfn.POISSON.DIST(AH$1,$B38,FALSE)/(_xlfn.POISSON.DIST(AH$1,$B38,FALSE)+(1-$B38/AH$1)*_xlfn.POISSON.DIST(AH$1-1,$B38,TRUE))*EXP(-(AH$1-$B38)*'Staffing Calculator'!$B$5/'Staffing Calculator'!$B$6))</f>
        <v/>
      </c>
      <c r="AI38" s="56">
        <f>IF(AI$1&lt;=$B38,0,1-_xlfn.POISSON.DIST(AI$1,$B38,FALSE)/(_xlfn.POISSON.DIST(AI$1,$B38,FALSE)+(1-$B38/AI$1)*_xlfn.POISSON.DIST(AI$1-1,$B38,TRUE))*EXP(-(AI$1-$B38)*'Staffing Calculator'!$B$5/'Staffing Calculator'!$B$6))</f>
        <v/>
      </c>
      <c r="AJ38" s="56">
        <f>IF(AJ$1&lt;=$B38,0,1-_xlfn.POISSON.DIST(AJ$1,$B38,FALSE)/(_xlfn.POISSON.DIST(AJ$1,$B38,FALSE)+(1-$B38/AJ$1)*_xlfn.POISSON.DIST(AJ$1-1,$B38,TRUE))*EXP(-(AJ$1-$B38)*'Staffing Calculator'!$B$5/'Staffing Calculator'!$B$6))</f>
        <v/>
      </c>
      <c r="AK38" s="56">
        <f>IF(AK$1&lt;=$B38,0,1-_xlfn.POISSON.DIST(AK$1,$B38,FALSE)/(_xlfn.POISSON.DIST(AK$1,$B38,FALSE)+(1-$B38/AK$1)*_xlfn.POISSON.DIST(AK$1-1,$B38,TRUE))*EXP(-(AK$1-$B38)*'Staffing Calculator'!$B$5/'Staffing Calculator'!$B$6))</f>
        <v/>
      </c>
      <c r="AL38" s="56">
        <f>IF(AL$1&lt;=$B38,0,1-_xlfn.POISSON.DIST(AL$1,$B38,FALSE)/(_xlfn.POISSON.DIST(AL$1,$B38,FALSE)+(1-$B38/AL$1)*_xlfn.POISSON.DIST(AL$1-1,$B38,TRUE))*EXP(-(AL$1-$B38)*'Staffing Calculator'!$B$5/'Staffing Calculator'!$B$6))</f>
        <v/>
      </c>
      <c r="AM38" s="56">
        <f>IF(AM$1&lt;=$B38,0,1-_xlfn.POISSON.DIST(AM$1,$B38,FALSE)/(_xlfn.POISSON.DIST(AM$1,$B38,FALSE)+(1-$B38/AM$1)*_xlfn.POISSON.DIST(AM$1-1,$B38,TRUE))*EXP(-(AM$1-$B38)*'Staffing Calculator'!$B$5/'Staffing Calculator'!$B$6))</f>
        <v/>
      </c>
      <c r="AN38" s="56">
        <f>IF(AN$1&lt;=$B38,0,1-_xlfn.POISSON.DIST(AN$1,$B38,FALSE)/(_xlfn.POISSON.DIST(AN$1,$B38,FALSE)+(1-$B38/AN$1)*_xlfn.POISSON.DIST(AN$1-1,$B38,TRUE))*EXP(-(AN$1-$B38)*'Staffing Calculator'!$B$5/'Staffing Calculator'!$B$6))</f>
        <v/>
      </c>
      <c r="AO38" s="56">
        <f>IF(AO$1&lt;=$B38,0,1-_xlfn.POISSON.DIST(AO$1,$B38,FALSE)/(_xlfn.POISSON.DIST(AO$1,$B38,FALSE)+(1-$B38/AO$1)*_xlfn.POISSON.DIST(AO$1-1,$B38,TRUE))*EXP(-(AO$1-$B38)*'Staffing Calculator'!$B$5/'Staffing Calculator'!$B$6))</f>
        <v/>
      </c>
      <c r="AP38" s="56">
        <f>IF(AP$1&lt;=$B38,0,1-_xlfn.POISSON.DIST(AP$1,$B38,FALSE)/(_xlfn.POISSON.DIST(AP$1,$B38,FALSE)+(1-$B38/AP$1)*_xlfn.POISSON.DIST(AP$1-1,$B38,TRUE))*EXP(-(AP$1-$B38)*'Staffing Calculator'!$B$5/'Staffing Calculator'!$B$6))</f>
        <v/>
      </c>
      <c r="AQ38" s="56">
        <f>IF(AQ$1&lt;=$B38,0,1-_xlfn.POISSON.DIST(AQ$1,$B38,FALSE)/(_xlfn.POISSON.DIST(AQ$1,$B38,FALSE)+(1-$B38/AQ$1)*_xlfn.POISSON.DIST(AQ$1-1,$B38,TRUE))*EXP(-(AQ$1-$B38)*'Staffing Calculator'!$B$5/'Staffing Calculator'!$B$6))</f>
        <v/>
      </c>
      <c r="AR38" s="56">
        <f>IF(AR$1&lt;=$B38,0,1-_xlfn.POISSON.DIST(AR$1,$B38,FALSE)/(_xlfn.POISSON.DIST(AR$1,$B38,FALSE)+(1-$B38/AR$1)*_xlfn.POISSON.DIST(AR$1-1,$B38,TRUE))*EXP(-(AR$1-$B38)*'Staffing Calculator'!$B$5/'Staffing Calculator'!$B$6))</f>
        <v/>
      </c>
      <c r="AS38" s="56">
        <f>IF(AS$1&lt;=$B38,0,1-_xlfn.POISSON.DIST(AS$1,$B38,FALSE)/(_xlfn.POISSON.DIST(AS$1,$B38,FALSE)+(1-$B38/AS$1)*_xlfn.POISSON.DIST(AS$1-1,$B38,TRUE))*EXP(-(AS$1-$B38)*'Staffing Calculator'!$B$5/'Staffing Calculator'!$B$6))</f>
        <v/>
      </c>
      <c r="AT38" s="56">
        <f>IF(AT$1&lt;=$B38,0,1-_xlfn.POISSON.DIST(AT$1,$B38,FALSE)/(_xlfn.POISSON.DIST(AT$1,$B38,FALSE)+(1-$B38/AT$1)*_xlfn.POISSON.DIST(AT$1-1,$B38,TRUE))*EXP(-(AT$1-$B38)*'Staffing Calculator'!$B$5/'Staffing Calculator'!$B$6))</f>
        <v/>
      </c>
      <c r="AU38" s="56">
        <f>IF(AU$1&lt;=$B38,0,1-_xlfn.POISSON.DIST(AU$1,$B38,FALSE)/(_xlfn.POISSON.DIST(AU$1,$B38,FALSE)+(1-$B38/AU$1)*_xlfn.POISSON.DIST(AU$1-1,$B38,TRUE))*EXP(-(AU$1-$B38)*'Staffing Calculator'!$B$5/'Staffing Calculator'!$B$6))</f>
        <v/>
      </c>
      <c r="AV38" s="56">
        <f>IF(AV$1&lt;=$B38,0,1-_xlfn.POISSON.DIST(AV$1,$B38,FALSE)/(_xlfn.POISSON.DIST(AV$1,$B38,FALSE)+(1-$B38/AV$1)*_xlfn.POISSON.DIST(AV$1-1,$B38,TRUE))*EXP(-(AV$1-$B38)*'Staffing Calculator'!$B$5/'Staffing Calculator'!$B$6))</f>
        <v/>
      </c>
      <c r="AW38" s="56">
        <f>IF(AW$1&lt;=$B38,0,1-_xlfn.POISSON.DIST(AW$1,$B38,FALSE)/(_xlfn.POISSON.DIST(AW$1,$B38,FALSE)+(1-$B38/AW$1)*_xlfn.POISSON.DIST(AW$1-1,$B38,TRUE))*EXP(-(AW$1-$B38)*'Staffing Calculator'!$B$5/'Staffing Calculator'!$B$6))</f>
        <v/>
      </c>
      <c r="AX38" s="56">
        <f>IF(AX$1&lt;=$B38,0,1-_xlfn.POISSON.DIST(AX$1,$B38,FALSE)/(_xlfn.POISSON.DIST(AX$1,$B38,FALSE)+(1-$B38/AX$1)*_xlfn.POISSON.DIST(AX$1-1,$B38,TRUE))*EXP(-(AX$1-$B38)*'Staffing Calculator'!$B$5/'Staffing Calculator'!$B$6))</f>
        <v/>
      </c>
      <c r="AY38" s="56">
        <f>IF(AY$1&lt;=$B38,0,1-_xlfn.POISSON.DIST(AY$1,$B38,FALSE)/(_xlfn.POISSON.DIST(AY$1,$B38,FALSE)+(1-$B38/AY$1)*_xlfn.POISSON.DIST(AY$1-1,$B38,TRUE))*EXP(-(AY$1-$B38)*'Staffing Calculator'!$B$5/'Staffing Calculator'!$B$6))</f>
        <v/>
      </c>
      <c r="AZ38" s="56">
        <f>IF(AZ$1&lt;=$B38,0,1-_xlfn.POISSON.DIST(AZ$1,$B38,FALSE)/(_xlfn.POISSON.DIST(AZ$1,$B38,FALSE)+(1-$B38/AZ$1)*_xlfn.POISSON.DIST(AZ$1-1,$B38,TRUE))*EXP(-(AZ$1-$B38)*'Staffing Calculator'!$B$5/'Staffing Calculator'!$B$6))</f>
        <v/>
      </c>
      <c r="BA38" s="56">
        <f>IF(BA$1&lt;=$B38,0,1-_xlfn.POISSON.DIST(BA$1,$B38,FALSE)/(_xlfn.POISSON.DIST(BA$1,$B38,FALSE)+(1-$B38/BA$1)*_xlfn.POISSON.DIST(BA$1-1,$B38,TRUE))*EXP(-(BA$1-$B38)*'Staffing Calculator'!$B$5/'Staffing Calculator'!$B$6))</f>
        <v/>
      </c>
      <c r="BB38" s="56">
        <f>IF(BB$1&lt;=$B38,0,1-_xlfn.POISSON.DIST(BB$1,$B38,FALSE)/(_xlfn.POISSON.DIST(BB$1,$B38,FALSE)+(1-$B38/BB$1)*_xlfn.POISSON.DIST(BB$1-1,$B38,TRUE))*EXP(-(BB$1-$B38)*'Staffing Calculator'!$B$5/'Staffing Calculator'!$B$6))</f>
        <v/>
      </c>
      <c r="BC38" s="56">
        <f>IF(BC$1&lt;=$B38,0,1-_xlfn.POISSON.DIST(BC$1,$B38,FALSE)/(_xlfn.POISSON.DIST(BC$1,$B38,FALSE)+(1-$B38/BC$1)*_xlfn.POISSON.DIST(BC$1-1,$B38,TRUE))*EXP(-(BC$1-$B38)*'Staffing Calculator'!$B$5/'Staffing Calculator'!$B$6))</f>
        <v/>
      </c>
      <c r="BD38" s="56">
        <f>IF(BD$1&lt;=$B38,0,1-_xlfn.POISSON.DIST(BD$1,$B38,FALSE)/(_xlfn.POISSON.DIST(BD$1,$B38,FALSE)+(1-$B38/BD$1)*_xlfn.POISSON.DIST(BD$1-1,$B38,TRUE))*EXP(-(BD$1-$B38)*'Staffing Calculator'!$B$5/'Staffing Calculator'!$B$6))</f>
        <v/>
      </c>
      <c r="BE38" s="56">
        <f>IF(BE$1&lt;=$B38,0,1-_xlfn.POISSON.DIST(BE$1,$B38,FALSE)/(_xlfn.POISSON.DIST(BE$1,$B38,FALSE)+(1-$B38/BE$1)*_xlfn.POISSON.DIST(BE$1-1,$B38,TRUE))*EXP(-(BE$1-$B38)*'Staffing Calculator'!$B$5/'Staffing Calculator'!$B$6))</f>
        <v/>
      </c>
      <c r="BF38" s="56">
        <f>IF(BF$1&lt;=$B38,0,1-_xlfn.POISSON.DIST(BF$1,$B38,FALSE)/(_xlfn.POISSON.DIST(BF$1,$B38,FALSE)+(1-$B38/BF$1)*_xlfn.POISSON.DIST(BF$1-1,$B38,TRUE))*EXP(-(BF$1-$B38)*'Staffing Calculator'!$B$5/'Staffing Calculator'!$B$6))</f>
        <v/>
      </c>
      <c r="BG38" s="56">
        <f>IF(BG$1&lt;=$B38,0,1-_xlfn.POISSON.DIST(BG$1,$B38,FALSE)/(_xlfn.POISSON.DIST(BG$1,$B38,FALSE)+(1-$B38/BG$1)*_xlfn.POISSON.DIST(BG$1-1,$B38,TRUE))*EXP(-(BG$1-$B38)*'Staffing Calculator'!$B$5/'Staffing Calculator'!$B$6))</f>
        <v/>
      </c>
      <c r="BH38" s="56">
        <f>IF(BH$1&lt;=$B38,0,1-_xlfn.POISSON.DIST(BH$1,$B38,FALSE)/(_xlfn.POISSON.DIST(BH$1,$B38,FALSE)+(1-$B38/BH$1)*_xlfn.POISSON.DIST(BH$1-1,$B38,TRUE))*EXP(-(BH$1-$B38)*'Staffing Calculator'!$B$5/'Staffing Calculator'!$B$6))</f>
        <v/>
      </c>
      <c r="BI38" s="56">
        <f>IF(BI$1&lt;=$B38,0,1-_xlfn.POISSON.DIST(BI$1,$B38,FALSE)/(_xlfn.POISSON.DIST(BI$1,$B38,FALSE)+(1-$B38/BI$1)*_xlfn.POISSON.DIST(BI$1-1,$B38,TRUE))*EXP(-(BI$1-$B38)*'Staffing Calculator'!$B$5/'Staffing Calculator'!$B$6))</f>
        <v/>
      </c>
      <c r="BJ38" s="56">
        <f>IF(BJ$1&lt;=$B38,0,1-_xlfn.POISSON.DIST(BJ$1,$B38,FALSE)/(_xlfn.POISSON.DIST(BJ$1,$B38,FALSE)+(1-$B38/BJ$1)*_xlfn.POISSON.DIST(BJ$1-1,$B38,TRUE))*EXP(-(BJ$1-$B38)*'Staffing Calculator'!$B$5/'Staffing Calculator'!$B$6))</f>
        <v/>
      </c>
    </row>
    <row r="39">
      <c r="A39" s="54">
        <f>'Staffing Calculator'!A39</f>
        <v/>
      </c>
      <c r="B39" s="55">
        <f>'Staffing Calculator'!C39</f>
        <v/>
      </c>
      <c r="C39" s="56">
        <f>IF(C$1&lt;=$B39,0,1-_xlfn.POISSON.DIST(C$1,$B39,FALSE)/(_xlfn.POISSON.DIST(C$1,$B39,FALSE)+(1-$B39/C$1)*_xlfn.POISSON.DIST(C$1-1,$B39,TRUE))*EXP(-(C$1-$B39)*'Staffing Calculator'!$B$5/'Staffing Calculator'!$B$6))</f>
        <v/>
      </c>
      <c r="D39" s="56">
        <f>IF(D$1&lt;=$B39,0,1-_xlfn.POISSON.DIST(D$1,$B39,FALSE)/(_xlfn.POISSON.DIST(D$1,$B39,FALSE)+(1-$B39/D$1)*_xlfn.POISSON.DIST(D$1-1,$B39,TRUE))*EXP(-(D$1-$B39)*'Staffing Calculator'!$B$5/'Staffing Calculator'!$B$6))</f>
        <v/>
      </c>
      <c r="E39" s="56">
        <f>IF(E$1&lt;=$B39,0,1-_xlfn.POISSON.DIST(E$1,$B39,FALSE)/(_xlfn.POISSON.DIST(E$1,$B39,FALSE)+(1-$B39/E$1)*_xlfn.POISSON.DIST(E$1-1,$B39,TRUE))*EXP(-(E$1-$B39)*'Staffing Calculator'!$B$5/'Staffing Calculator'!$B$6))</f>
        <v/>
      </c>
      <c r="F39" s="56">
        <f>IF(F$1&lt;=$B39,0,1-_xlfn.POISSON.DIST(F$1,$B39,FALSE)/(_xlfn.POISSON.DIST(F$1,$B39,FALSE)+(1-$B39/F$1)*_xlfn.POISSON.DIST(F$1-1,$B39,TRUE))*EXP(-(F$1-$B39)*'Staffing Calculator'!$B$5/'Staffing Calculator'!$B$6))</f>
        <v/>
      </c>
      <c r="G39" s="56">
        <f>IF(G$1&lt;=$B39,0,1-_xlfn.POISSON.DIST(G$1,$B39,FALSE)/(_xlfn.POISSON.DIST(G$1,$B39,FALSE)+(1-$B39/G$1)*_xlfn.POISSON.DIST(G$1-1,$B39,TRUE))*EXP(-(G$1-$B39)*'Staffing Calculator'!$B$5/'Staffing Calculator'!$B$6))</f>
        <v/>
      </c>
      <c r="H39" s="56">
        <f>IF(H$1&lt;=$B39,0,1-_xlfn.POISSON.DIST(H$1,$B39,FALSE)/(_xlfn.POISSON.DIST(H$1,$B39,FALSE)+(1-$B39/H$1)*_xlfn.POISSON.DIST(H$1-1,$B39,TRUE))*EXP(-(H$1-$B39)*'Staffing Calculator'!$B$5/'Staffing Calculator'!$B$6))</f>
        <v/>
      </c>
      <c r="I39" s="56">
        <f>IF(I$1&lt;=$B39,0,1-_xlfn.POISSON.DIST(I$1,$B39,FALSE)/(_xlfn.POISSON.DIST(I$1,$B39,FALSE)+(1-$B39/I$1)*_xlfn.POISSON.DIST(I$1-1,$B39,TRUE))*EXP(-(I$1-$B39)*'Staffing Calculator'!$B$5/'Staffing Calculator'!$B$6))</f>
        <v/>
      </c>
      <c r="J39" s="56">
        <f>IF(J$1&lt;=$B39,0,1-_xlfn.POISSON.DIST(J$1,$B39,FALSE)/(_xlfn.POISSON.DIST(J$1,$B39,FALSE)+(1-$B39/J$1)*_xlfn.POISSON.DIST(J$1-1,$B39,TRUE))*EXP(-(J$1-$B39)*'Staffing Calculator'!$B$5/'Staffing Calculator'!$B$6))</f>
        <v/>
      </c>
      <c r="K39" s="56">
        <f>IF(K$1&lt;=$B39,0,1-_xlfn.POISSON.DIST(K$1,$B39,FALSE)/(_xlfn.POISSON.DIST(K$1,$B39,FALSE)+(1-$B39/K$1)*_xlfn.POISSON.DIST(K$1-1,$B39,TRUE))*EXP(-(K$1-$B39)*'Staffing Calculator'!$B$5/'Staffing Calculator'!$B$6))</f>
        <v/>
      </c>
      <c r="L39" s="56">
        <f>IF(L$1&lt;=$B39,0,1-_xlfn.POISSON.DIST(L$1,$B39,FALSE)/(_xlfn.POISSON.DIST(L$1,$B39,FALSE)+(1-$B39/L$1)*_xlfn.POISSON.DIST(L$1-1,$B39,TRUE))*EXP(-(L$1-$B39)*'Staffing Calculator'!$B$5/'Staffing Calculator'!$B$6))</f>
        <v/>
      </c>
      <c r="M39" s="56">
        <f>IF(M$1&lt;=$B39,0,1-_xlfn.POISSON.DIST(M$1,$B39,FALSE)/(_xlfn.POISSON.DIST(M$1,$B39,FALSE)+(1-$B39/M$1)*_xlfn.POISSON.DIST(M$1-1,$B39,TRUE))*EXP(-(M$1-$B39)*'Staffing Calculator'!$B$5/'Staffing Calculator'!$B$6))</f>
        <v/>
      </c>
      <c r="N39" s="56">
        <f>IF(N$1&lt;=$B39,0,1-_xlfn.POISSON.DIST(N$1,$B39,FALSE)/(_xlfn.POISSON.DIST(N$1,$B39,FALSE)+(1-$B39/N$1)*_xlfn.POISSON.DIST(N$1-1,$B39,TRUE))*EXP(-(N$1-$B39)*'Staffing Calculator'!$B$5/'Staffing Calculator'!$B$6))</f>
        <v/>
      </c>
      <c r="O39" s="56">
        <f>IF(O$1&lt;=$B39,0,1-_xlfn.POISSON.DIST(O$1,$B39,FALSE)/(_xlfn.POISSON.DIST(O$1,$B39,FALSE)+(1-$B39/O$1)*_xlfn.POISSON.DIST(O$1-1,$B39,TRUE))*EXP(-(O$1-$B39)*'Staffing Calculator'!$B$5/'Staffing Calculator'!$B$6))</f>
        <v/>
      </c>
      <c r="P39" s="56">
        <f>IF(P$1&lt;=$B39,0,1-_xlfn.POISSON.DIST(P$1,$B39,FALSE)/(_xlfn.POISSON.DIST(P$1,$B39,FALSE)+(1-$B39/P$1)*_xlfn.POISSON.DIST(P$1-1,$B39,TRUE))*EXP(-(P$1-$B39)*'Staffing Calculator'!$B$5/'Staffing Calculator'!$B$6))</f>
        <v/>
      </c>
      <c r="Q39" s="56">
        <f>IF(Q$1&lt;=$B39,0,1-_xlfn.POISSON.DIST(Q$1,$B39,FALSE)/(_xlfn.POISSON.DIST(Q$1,$B39,FALSE)+(1-$B39/Q$1)*_xlfn.POISSON.DIST(Q$1-1,$B39,TRUE))*EXP(-(Q$1-$B39)*'Staffing Calculator'!$B$5/'Staffing Calculator'!$B$6))</f>
        <v/>
      </c>
      <c r="R39" s="56">
        <f>IF(R$1&lt;=$B39,0,1-_xlfn.POISSON.DIST(R$1,$B39,FALSE)/(_xlfn.POISSON.DIST(R$1,$B39,FALSE)+(1-$B39/R$1)*_xlfn.POISSON.DIST(R$1-1,$B39,TRUE))*EXP(-(R$1-$B39)*'Staffing Calculator'!$B$5/'Staffing Calculator'!$B$6))</f>
        <v/>
      </c>
      <c r="S39" s="56">
        <f>IF(S$1&lt;=$B39,0,1-_xlfn.POISSON.DIST(S$1,$B39,FALSE)/(_xlfn.POISSON.DIST(S$1,$B39,FALSE)+(1-$B39/S$1)*_xlfn.POISSON.DIST(S$1-1,$B39,TRUE))*EXP(-(S$1-$B39)*'Staffing Calculator'!$B$5/'Staffing Calculator'!$B$6))</f>
        <v/>
      </c>
      <c r="T39" s="56">
        <f>IF(T$1&lt;=$B39,0,1-_xlfn.POISSON.DIST(T$1,$B39,FALSE)/(_xlfn.POISSON.DIST(T$1,$B39,FALSE)+(1-$B39/T$1)*_xlfn.POISSON.DIST(T$1-1,$B39,TRUE))*EXP(-(T$1-$B39)*'Staffing Calculator'!$B$5/'Staffing Calculator'!$B$6))</f>
        <v/>
      </c>
      <c r="U39" s="56">
        <f>IF(U$1&lt;=$B39,0,1-_xlfn.POISSON.DIST(U$1,$B39,FALSE)/(_xlfn.POISSON.DIST(U$1,$B39,FALSE)+(1-$B39/U$1)*_xlfn.POISSON.DIST(U$1-1,$B39,TRUE))*EXP(-(U$1-$B39)*'Staffing Calculator'!$B$5/'Staffing Calculator'!$B$6))</f>
        <v/>
      </c>
      <c r="V39" s="56">
        <f>IF(V$1&lt;=$B39,0,1-_xlfn.POISSON.DIST(V$1,$B39,FALSE)/(_xlfn.POISSON.DIST(V$1,$B39,FALSE)+(1-$B39/V$1)*_xlfn.POISSON.DIST(V$1-1,$B39,TRUE))*EXP(-(V$1-$B39)*'Staffing Calculator'!$B$5/'Staffing Calculator'!$B$6))</f>
        <v/>
      </c>
      <c r="W39" s="56">
        <f>IF(W$1&lt;=$B39,0,1-_xlfn.POISSON.DIST(W$1,$B39,FALSE)/(_xlfn.POISSON.DIST(W$1,$B39,FALSE)+(1-$B39/W$1)*_xlfn.POISSON.DIST(W$1-1,$B39,TRUE))*EXP(-(W$1-$B39)*'Staffing Calculator'!$B$5/'Staffing Calculator'!$B$6))</f>
        <v/>
      </c>
      <c r="X39" s="56">
        <f>IF(X$1&lt;=$B39,0,1-_xlfn.POISSON.DIST(X$1,$B39,FALSE)/(_xlfn.POISSON.DIST(X$1,$B39,FALSE)+(1-$B39/X$1)*_xlfn.POISSON.DIST(X$1-1,$B39,TRUE))*EXP(-(X$1-$B39)*'Staffing Calculator'!$B$5/'Staffing Calculator'!$B$6))</f>
        <v/>
      </c>
      <c r="Y39" s="56">
        <f>IF(Y$1&lt;=$B39,0,1-_xlfn.POISSON.DIST(Y$1,$B39,FALSE)/(_xlfn.POISSON.DIST(Y$1,$B39,FALSE)+(1-$B39/Y$1)*_xlfn.POISSON.DIST(Y$1-1,$B39,TRUE))*EXP(-(Y$1-$B39)*'Staffing Calculator'!$B$5/'Staffing Calculator'!$B$6))</f>
        <v/>
      </c>
      <c r="Z39" s="56">
        <f>IF(Z$1&lt;=$B39,0,1-_xlfn.POISSON.DIST(Z$1,$B39,FALSE)/(_xlfn.POISSON.DIST(Z$1,$B39,FALSE)+(1-$B39/Z$1)*_xlfn.POISSON.DIST(Z$1-1,$B39,TRUE))*EXP(-(Z$1-$B39)*'Staffing Calculator'!$B$5/'Staffing Calculator'!$B$6))</f>
        <v/>
      </c>
      <c r="AA39" s="56">
        <f>IF(AA$1&lt;=$B39,0,1-_xlfn.POISSON.DIST(AA$1,$B39,FALSE)/(_xlfn.POISSON.DIST(AA$1,$B39,FALSE)+(1-$B39/AA$1)*_xlfn.POISSON.DIST(AA$1-1,$B39,TRUE))*EXP(-(AA$1-$B39)*'Staffing Calculator'!$B$5/'Staffing Calculator'!$B$6))</f>
        <v/>
      </c>
      <c r="AB39" s="56">
        <f>IF(AB$1&lt;=$B39,0,1-_xlfn.POISSON.DIST(AB$1,$B39,FALSE)/(_xlfn.POISSON.DIST(AB$1,$B39,FALSE)+(1-$B39/AB$1)*_xlfn.POISSON.DIST(AB$1-1,$B39,TRUE))*EXP(-(AB$1-$B39)*'Staffing Calculator'!$B$5/'Staffing Calculator'!$B$6))</f>
        <v/>
      </c>
      <c r="AC39" s="56">
        <f>IF(AC$1&lt;=$B39,0,1-_xlfn.POISSON.DIST(AC$1,$B39,FALSE)/(_xlfn.POISSON.DIST(AC$1,$B39,FALSE)+(1-$B39/AC$1)*_xlfn.POISSON.DIST(AC$1-1,$B39,TRUE))*EXP(-(AC$1-$B39)*'Staffing Calculator'!$B$5/'Staffing Calculator'!$B$6))</f>
        <v/>
      </c>
      <c r="AD39" s="56">
        <f>IF(AD$1&lt;=$B39,0,1-_xlfn.POISSON.DIST(AD$1,$B39,FALSE)/(_xlfn.POISSON.DIST(AD$1,$B39,FALSE)+(1-$B39/AD$1)*_xlfn.POISSON.DIST(AD$1-1,$B39,TRUE))*EXP(-(AD$1-$B39)*'Staffing Calculator'!$B$5/'Staffing Calculator'!$B$6))</f>
        <v/>
      </c>
      <c r="AE39" s="56">
        <f>IF(AE$1&lt;=$B39,0,1-_xlfn.POISSON.DIST(AE$1,$B39,FALSE)/(_xlfn.POISSON.DIST(AE$1,$B39,FALSE)+(1-$B39/AE$1)*_xlfn.POISSON.DIST(AE$1-1,$B39,TRUE))*EXP(-(AE$1-$B39)*'Staffing Calculator'!$B$5/'Staffing Calculator'!$B$6))</f>
        <v/>
      </c>
      <c r="AF39" s="56">
        <f>IF(AF$1&lt;=$B39,0,1-_xlfn.POISSON.DIST(AF$1,$B39,FALSE)/(_xlfn.POISSON.DIST(AF$1,$B39,FALSE)+(1-$B39/AF$1)*_xlfn.POISSON.DIST(AF$1-1,$B39,TRUE))*EXP(-(AF$1-$B39)*'Staffing Calculator'!$B$5/'Staffing Calculator'!$B$6))</f>
        <v/>
      </c>
      <c r="AG39" s="56">
        <f>IF(AG$1&lt;=$B39,0,1-_xlfn.POISSON.DIST(AG$1,$B39,FALSE)/(_xlfn.POISSON.DIST(AG$1,$B39,FALSE)+(1-$B39/AG$1)*_xlfn.POISSON.DIST(AG$1-1,$B39,TRUE))*EXP(-(AG$1-$B39)*'Staffing Calculator'!$B$5/'Staffing Calculator'!$B$6))</f>
        <v/>
      </c>
      <c r="AH39" s="56">
        <f>IF(AH$1&lt;=$B39,0,1-_xlfn.POISSON.DIST(AH$1,$B39,FALSE)/(_xlfn.POISSON.DIST(AH$1,$B39,FALSE)+(1-$B39/AH$1)*_xlfn.POISSON.DIST(AH$1-1,$B39,TRUE))*EXP(-(AH$1-$B39)*'Staffing Calculator'!$B$5/'Staffing Calculator'!$B$6))</f>
        <v/>
      </c>
      <c r="AI39" s="56">
        <f>IF(AI$1&lt;=$B39,0,1-_xlfn.POISSON.DIST(AI$1,$B39,FALSE)/(_xlfn.POISSON.DIST(AI$1,$B39,FALSE)+(1-$B39/AI$1)*_xlfn.POISSON.DIST(AI$1-1,$B39,TRUE))*EXP(-(AI$1-$B39)*'Staffing Calculator'!$B$5/'Staffing Calculator'!$B$6))</f>
        <v/>
      </c>
      <c r="AJ39" s="56">
        <f>IF(AJ$1&lt;=$B39,0,1-_xlfn.POISSON.DIST(AJ$1,$B39,FALSE)/(_xlfn.POISSON.DIST(AJ$1,$B39,FALSE)+(1-$B39/AJ$1)*_xlfn.POISSON.DIST(AJ$1-1,$B39,TRUE))*EXP(-(AJ$1-$B39)*'Staffing Calculator'!$B$5/'Staffing Calculator'!$B$6))</f>
        <v/>
      </c>
      <c r="AK39" s="56">
        <f>IF(AK$1&lt;=$B39,0,1-_xlfn.POISSON.DIST(AK$1,$B39,FALSE)/(_xlfn.POISSON.DIST(AK$1,$B39,FALSE)+(1-$B39/AK$1)*_xlfn.POISSON.DIST(AK$1-1,$B39,TRUE))*EXP(-(AK$1-$B39)*'Staffing Calculator'!$B$5/'Staffing Calculator'!$B$6))</f>
        <v/>
      </c>
      <c r="AL39" s="56">
        <f>IF(AL$1&lt;=$B39,0,1-_xlfn.POISSON.DIST(AL$1,$B39,FALSE)/(_xlfn.POISSON.DIST(AL$1,$B39,FALSE)+(1-$B39/AL$1)*_xlfn.POISSON.DIST(AL$1-1,$B39,TRUE))*EXP(-(AL$1-$B39)*'Staffing Calculator'!$B$5/'Staffing Calculator'!$B$6))</f>
        <v/>
      </c>
      <c r="AM39" s="56">
        <f>IF(AM$1&lt;=$B39,0,1-_xlfn.POISSON.DIST(AM$1,$B39,FALSE)/(_xlfn.POISSON.DIST(AM$1,$B39,FALSE)+(1-$B39/AM$1)*_xlfn.POISSON.DIST(AM$1-1,$B39,TRUE))*EXP(-(AM$1-$B39)*'Staffing Calculator'!$B$5/'Staffing Calculator'!$B$6))</f>
        <v/>
      </c>
      <c r="AN39" s="56">
        <f>IF(AN$1&lt;=$B39,0,1-_xlfn.POISSON.DIST(AN$1,$B39,FALSE)/(_xlfn.POISSON.DIST(AN$1,$B39,FALSE)+(1-$B39/AN$1)*_xlfn.POISSON.DIST(AN$1-1,$B39,TRUE))*EXP(-(AN$1-$B39)*'Staffing Calculator'!$B$5/'Staffing Calculator'!$B$6))</f>
        <v/>
      </c>
      <c r="AO39" s="56">
        <f>IF(AO$1&lt;=$B39,0,1-_xlfn.POISSON.DIST(AO$1,$B39,FALSE)/(_xlfn.POISSON.DIST(AO$1,$B39,FALSE)+(1-$B39/AO$1)*_xlfn.POISSON.DIST(AO$1-1,$B39,TRUE))*EXP(-(AO$1-$B39)*'Staffing Calculator'!$B$5/'Staffing Calculator'!$B$6))</f>
        <v/>
      </c>
      <c r="AP39" s="56">
        <f>IF(AP$1&lt;=$B39,0,1-_xlfn.POISSON.DIST(AP$1,$B39,FALSE)/(_xlfn.POISSON.DIST(AP$1,$B39,FALSE)+(1-$B39/AP$1)*_xlfn.POISSON.DIST(AP$1-1,$B39,TRUE))*EXP(-(AP$1-$B39)*'Staffing Calculator'!$B$5/'Staffing Calculator'!$B$6))</f>
        <v/>
      </c>
      <c r="AQ39" s="56">
        <f>IF(AQ$1&lt;=$B39,0,1-_xlfn.POISSON.DIST(AQ$1,$B39,FALSE)/(_xlfn.POISSON.DIST(AQ$1,$B39,FALSE)+(1-$B39/AQ$1)*_xlfn.POISSON.DIST(AQ$1-1,$B39,TRUE))*EXP(-(AQ$1-$B39)*'Staffing Calculator'!$B$5/'Staffing Calculator'!$B$6))</f>
        <v/>
      </c>
      <c r="AR39" s="56">
        <f>IF(AR$1&lt;=$B39,0,1-_xlfn.POISSON.DIST(AR$1,$B39,FALSE)/(_xlfn.POISSON.DIST(AR$1,$B39,FALSE)+(1-$B39/AR$1)*_xlfn.POISSON.DIST(AR$1-1,$B39,TRUE))*EXP(-(AR$1-$B39)*'Staffing Calculator'!$B$5/'Staffing Calculator'!$B$6))</f>
        <v/>
      </c>
      <c r="AS39" s="56">
        <f>IF(AS$1&lt;=$B39,0,1-_xlfn.POISSON.DIST(AS$1,$B39,FALSE)/(_xlfn.POISSON.DIST(AS$1,$B39,FALSE)+(1-$B39/AS$1)*_xlfn.POISSON.DIST(AS$1-1,$B39,TRUE))*EXP(-(AS$1-$B39)*'Staffing Calculator'!$B$5/'Staffing Calculator'!$B$6))</f>
        <v/>
      </c>
      <c r="AT39" s="56">
        <f>IF(AT$1&lt;=$B39,0,1-_xlfn.POISSON.DIST(AT$1,$B39,FALSE)/(_xlfn.POISSON.DIST(AT$1,$B39,FALSE)+(1-$B39/AT$1)*_xlfn.POISSON.DIST(AT$1-1,$B39,TRUE))*EXP(-(AT$1-$B39)*'Staffing Calculator'!$B$5/'Staffing Calculator'!$B$6))</f>
        <v/>
      </c>
      <c r="AU39" s="56">
        <f>IF(AU$1&lt;=$B39,0,1-_xlfn.POISSON.DIST(AU$1,$B39,FALSE)/(_xlfn.POISSON.DIST(AU$1,$B39,FALSE)+(1-$B39/AU$1)*_xlfn.POISSON.DIST(AU$1-1,$B39,TRUE))*EXP(-(AU$1-$B39)*'Staffing Calculator'!$B$5/'Staffing Calculator'!$B$6))</f>
        <v/>
      </c>
      <c r="AV39" s="56">
        <f>IF(AV$1&lt;=$B39,0,1-_xlfn.POISSON.DIST(AV$1,$B39,FALSE)/(_xlfn.POISSON.DIST(AV$1,$B39,FALSE)+(1-$B39/AV$1)*_xlfn.POISSON.DIST(AV$1-1,$B39,TRUE))*EXP(-(AV$1-$B39)*'Staffing Calculator'!$B$5/'Staffing Calculator'!$B$6))</f>
        <v/>
      </c>
      <c r="AW39" s="56">
        <f>IF(AW$1&lt;=$B39,0,1-_xlfn.POISSON.DIST(AW$1,$B39,FALSE)/(_xlfn.POISSON.DIST(AW$1,$B39,FALSE)+(1-$B39/AW$1)*_xlfn.POISSON.DIST(AW$1-1,$B39,TRUE))*EXP(-(AW$1-$B39)*'Staffing Calculator'!$B$5/'Staffing Calculator'!$B$6))</f>
        <v/>
      </c>
      <c r="AX39" s="56">
        <f>IF(AX$1&lt;=$B39,0,1-_xlfn.POISSON.DIST(AX$1,$B39,FALSE)/(_xlfn.POISSON.DIST(AX$1,$B39,FALSE)+(1-$B39/AX$1)*_xlfn.POISSON.DIST(AX$1-1,$B39,TRUE))*EXP(-(AX$1-$B39)*'Staffing Calculator'!$B$5/'Staffing Calculator'!$B$6))</f>
        <v/>
      </c>
      <c r="AY39" s="56">
        <f>IF(AY$1&lt;=$B39,0,1-_xlfn.POISSON.DIST(AY$1,$B39,FALSE)/(_xlfn.POISSON.DIST(AY$1,$B39,FALSE)+(1-$B39/AY$1)*_xlfn.POISSON.DIST(AY$1-1,$B39,TRUE))*EXP(-(AY$1-$B39)*'Staffing Calculator'!$B$5/'Staffing Calculator'!$B$6))</f>
        <v/>
      </c>
      <c r="AZ39" s="56">
        <f>IF(AZ$1&lt;=$B39,0,1-_xlfn.POISSON.DIST(AZ$1,$B39,FALSE)/(_xlfn.POISSON.DIST(AZ$1,$B39,FALSE)+(1-$B39/AZ$1)*_xlfn.POISSON.DIST(AZ$1-1,$B39,TRUE))*EXP(-(AZ$1-$B39)*'Staffing Calculator'!$B$5/'Staffing Calculator'!$B$6))</f>
        <v/>
      </c>
      <c r="BA39" s="56">
        <f>IF(BA$1&lt;=$B39,0,1-_xlfn.POISSON.DIST(BA$1,$B39,FALSE)/(_xlfn.POISSON.DIST(BA$1,$B39,FALSE)+(1-$B39/BA$1)*_xlfn.POISSON.DIST(BA$1-1,$B39,TRUE))*EXP(-(BA$1-$B39)*'Staffing Calculator'!$B$5/'Staffing Calculator'!$B$6))</f>
        <v/>
      </c>
      <c r="BB39" s="56">
        <f>IF(BB$1&lt;=$B39,0,1-_xlfn.POISSON.DIST(BB$1,$B39,FALSE)/(_xlfn.POISSON.DIST(BB$1,$B39,FALSE)+(1-$B39/BB$1)*_xlfn.POISSON.DIST(BB$1-1,$B39,TRUE))*EXP(-(BB$1-$B39)*'Staffing Calculator'!$B$5/'Staffing Calculator'!$B$6))</f>
        <v/>
      </c>
      <c r="BC39" s="56">
        <f>IF(BC$1&lt;=$B39,0,1-_xlfn.POISSON.DIST(BC$1,$B39,FALSE)/(_xlfn.POISSON.DIST(BC$1,$B39,FALSE)+(1-$B39/BC$1)*_xlfn.POISSON.DIST(BC$1-1,$B39,TRUE))*EXP(-(BC$1-$B39)*'Staffing Calculator'!$B$5/'Staffing Calculator'!$B$6))</f>
        <v/>
      </c>
      <c r="BD39" s="56">
        <f>IF(BD$1&lt;=$B39,0,1-_xlfn.POISSON.DIST(BD$1,$B39,FALSE)/(_xlfn.POISSON.DIST(BD$1,$B39,FALSE)+(1-$B39/BD$1)*_xlfn.POISSON.DIST(BD$1-1,$B39,TRUE))*EXP(-(BD$1-$B39)*'Staffing Calculator'!$B$5/'Staffing Calculator'!$B$6))</f>
        <v/>
      </c>
      <c r="BE39" s="56">
        <f>IF(BE$1&lt;=$B39,0,1-_xlfn.POISSON.DIST(BE$1,$B39,FALSE)/(_xlfn.POISSON.DIST(BE$1,$B39,FALSE)+(1-$B39/BE$1)*_xlfn.POISSON.DIST(BE$1-1,$B39,TRUE))*EXP(-(BE$1-$B39)*'Staffing Calculator'!$B$5/'Staffing Calculator'!$B$6))</f>
        <v/>
      </c>
      <c r="BF39" s="56">
        <f>IF(BF$1&lt;=$B39,0,1-_xlfn.POISSON.DIST(BF$1,$B39,FALSE)/(_xlfn.POISSON.DIST(BF$1,$B39,FALSE)+(1-$B39/BF$1)*_xlfn.POISSON.DIST(BF$1-1,$B39,TRUE))*EXP(-(BF$1-$B39)*'Staffing Calculator'!$B$5/'Staffing Calculator'!$B$6))</f>
        <v/>
      </c>
      <c r="BG39" s="56">
        <f>IF(BG$1&lt;=$B39,0,1-_xlfn.POISSON.DIST(BG$1,$B39,FALSE)/(_xlfn.POISSON.DIST(BG$1,$B39,FALSE)+(1-$B39/BG$1)*_xlfn.POISSON.DIST(BG$1-1,$B39,TRUE))*EXP(-(BG$1-$B39)*'Staffing Calculator'!$B$5/'Staffing Calculator'!$B$6))</f>
        <v/>
      </c>
      <c r="BH39" s="56">
        <f>IF(BH$1&lt;=$B39,0,1-_xlfn.POISSON.DIST(BH$1,$B39,FALSE)/(_xlfn.POISSON.DIST(BH$1,$B39,FALSE)+(1-$B39/BH$1)*_xlfn.POISSON.DIST(BH$1-1,$B39,TRUE))*EXP(-(BH$1-$B39)*'Staffing Calculator'!$B$5/'Staffing Calculator'!$B$6))</f>
        <v/>
      </c>
      <c r="BI39" s="56">
        <f>IF(BI$1&lt;=$B39,0,1-_xlfn.POISSON.DIST(BI$1,$B39,FALSE)/(_xlfn.POISSON.DIST(BI$1,$B39,FALSE)+(1-$B39/BI$1)*_xlfn.POISSON.DIST(BI$1-1,$B39,TRUE))*EXP(-(BI$1-$B39)*'Staffing Calculator'!$B$5/'Staffing Calculator'!$B$6))</f>
        <v/>
      </c>
      <c r="BJ39" s="56">
        <f>IF(BJ$1&lt;=$B39,0,1-_xlfn.POISSON.DIST(BJ$1,$B39,FALSE)/(_xlfn.POISSON.DIST(BJ$1,$B39,FALSE)+(1-$B39/BJ$1)*_xlfn.POISSON.DIST(BJ$1-1,$B39,TRUE))*EXP(-(BJ$1-$B39)*'Staffing Calculator'!$B$5/'Staffing Calculator'!$B$6))</f>
        <v/>
      </c>
    </row>
    <row r="40">
      <c r="A40" s="54">
        <f>'Staffing Calculator'!A40</f>
        <v/>
      </c>
      <c r="B40" s="55">
        <f>'Staffing Calculator'!C40</f>
        <v/>
      </c>
      <c r="C40" s="56">
        <f>IF(C$1&lt;=$B40,0,1-_xlfn.POISSON.DIST(C$1,$B40,FALSE)/(_xlfn.POISSON.DIST(C$1,$B40,FALSE)+(1-$B40/C$1)*_xlfn.POISSON.DIST(C$1-1,$B40,TRUE))*EXP(-(C$1-$B40)*'Staffing Calculator'!$B$5/'Staffing Calculator'!$B$6))</f>
        <v/>
      </c>
      <c r="D40" s="56">
        <f>IF(D$1&lt;=$B40,0,1-_xlfn.POISSON.DIST(D$1,$B40,FALSE)/(_xlfn.POISSON.DIST(D$1,$B40,FALSE)+(1-$B40/D$1)*_xlfn.POISSON.DIST(D$1-1,$B40,TRUE))*EXP(-(D$1-$B40)*'Staffing Calculator'!$B$5/'Staffing Calculator'!$B$6))</f>
        <v/>
      </c>
      <c r="E40" s="56">
        <f>IF(E$1&lt;=$B40,0,1-_xlfn.POISSON.DIST(E$1,$B40,FALSE)/(_xlfn.POISSON.DIST(E$1,$B40,FALSE)+(1-$B40/E$1)*_xlfn.POISSON.DIST(E$1-1,$B40,TRUE))*EXP(-(E$1-$B40)*'Staffing Calculator'!$B$5/'Staffing Calculator'!$B$6))</f>
        <v/>
      </c>
      <c r="F40" s="56">
        <f>IF(F$1&lt;=$B40,0,1-_xlfn.POISSON.DIST(F$1,$B40,FALSE)/(_xlfn.POISSON.DIST(F$1,$B40,FALSE)+(1-$B40/F$1)*_xlfn.POISSON.DIST(F$1-1,$B40,TRUE))*EXP(-(F$1-$B40)*'Staffing Calculator'!$B$5/'Staffing Calculator'!$B$6))</f>
        <v/>
      </c>
      <c r="G40" s="56">
        <f>IF(G$1&lt;=$B40,0,1-_xlfn.POISSON.DIST(G$1,$B40,FALSE)/(_xlfn.POISSON.DIST(G$1,$B40,FALSE)+(1-$B40/G$1)*_xlfn.POISSON.DIST(G$1-1,$B40,TRUE))*EXP(-(G$1-$B40)*'Staffing Calculator'!$B$5/'Staffing Calculator'!$B$6))</f>
        <v/>
      </c>
      <c r="H40" s="56">
        <f>IF(H$1&lt;=$B40,0,1-_xlfn.POISSON.DIST(H$1,$B40,FALSE)/(_xlfn.POISSON.DIST(H$1,$B40,FALSE)+(1-$B40/H$1)*_xlfn.POISSON.DIST(H$1-1,$B40,TRUE))*EXP(-(H$1-$B40)*'Staffing Calculator'!$B$5/'Staffing Calculator'!$B$6))</f>
        <v/>
      </c>
      <c r="I40" s="56">
        <f>IF(I$1&lt;=$B40,0,1-_xlfn.POISSON.DIST(I$1,$B40,FALSE)/(_xlfn.POISSON.DIST(I$1,$B40,FALSE)+(1-$B40/I$1)*_xlfn.POISSON.DIST(I$1-1,$B40,TRUE))*EXP(-(I$1-$B40)*'Staffing Calculator'!$B$5/'Staffing Calculator'!$B$6))</f>
        <v/>
      </c>
      <c r="J40" s="56">
        <f>IF(J$1&lt;=$B40,0,1-_xlfn.POISSON.DIST(J$1,$B40,FALSE)/(_xlfn.POISSON.DIST(J$1,$B40,FALSE)+(1-$B40/J$1)*_xlfn.POISSON.DIST(J$1-1,$B40,TRUE))*EXP(-(J$1-$B40)*'Staffing Calculator'!$B$5/'Staffing Calculator'!$B$6))</f>
        <v/>
      </c>
      <c r="K40" s="56">
        <f>IF(K$1&lt;=$B40,0,1-_xlfn.POISSON.DIST(K$1,$B40,FALSE)/(_xlfn.POISSON.DIST(K$1,$B40,FALSE)+(1-$B40/K$1)*_xlfn.POISSON.DIST(K$1-1,$B40,TRUE))*EXP(-(K$1-$B40)*'Staffing Calculator'!$B$5/'Staffing Calculator'!$B$6))</f>
        <v/>
      </c>
      <c r="L40" s="56">
        <f>IF(L$1&lt;=$B40,0,1-_xlfn.POISSON.DIST(L$1,$B40,FALSE)/(_xlfn.POISSON.DIST(L$1,$B40,FALSE)+(1-$B40/L$1)*_xlfn.POISSON.DIST(L$1-1,$B40,TRUE))*EXP(-(L$1-$B40)*'Staffing Calculator'!$B$5/'Staffing Calculator'!$B$6))</f>
        <v/>
      </c>
      <c r="M40" s="56">
        <f>IF(M$1&lt;=$B40,0,1-_xlfn.POISSON.DIST(M$1,$B40,FALSE)/(_xlfn.POISSON.DIST(M$1,$B40,FALSE)+(1-$B40/M$1)*_xlfn.POISSON.DIST(M$1-1,$B40,TRUE))*EXP(-(M$1-$B40)*'Staffing Calculator'!$B$5/'Staffing Calculator'!$B$6))</f>
        <v/>
      </c>
      <c r="N40" s="56">
        <f>IF(N$1&lt;=$B40,0,1-_xlfn.POISSON.DIST(N$1,$B40,FALSE)/(_xlfn.POISSON.DIST(N$1,$B40,FALSE)+(1-$B40/N$1)*_xlfn.POISSON.DIST(N$1-1,$B40,TRUE))*EXP(-(N$1-$B40)*'Staffing Calculator'!$B$5/'Staffing Calculator'!$B$6))</f>
        <v/>
      </c>
      <c r="O40" s="56">
        <f>IF(O$1&lt;=$B40,0,1-_xlfn.POISSON.DIST(O$1,$B40,FALSE)/(_xlfn.POISSON.DIST(O$1,$B40,FALSE)+(1-$B40/O$1)*_xlfn.POISSON.DIST(O$1-1,$B40,TRUE))*EXP(-(O$1-$B40)*'Staffing Calculator'!$B$5/'Staffing Calculator'!$B$6))</f>
        <v/>
      </c>
      <c r="P40" s="56">
        <f>IF(P$1&lt;=$B40,0,1-_xlfn.POISSON.DIST(P$1,$B40,FALSE)/(_xlfn.POISSON.DIST(P$1,$B40,FALSE)+(1-$B40/P$1)*_xlfn.POISSON.DIST(P$1-1,$B40,TRUE))*EXP(-(P$1-$B40)*'Staffing Calculator'!$B$5/'Staffing Calculator'!$B$6))</f>
        <v/>
      </c>
      <c r="Q40" s="56">
        <f>IF(Q$1&lt;=$B40,0,1-_xlfn.POISSON.DIST(Q$1,$B40,FALSE)/(_xlfn.POISSON.DIST(Q$1,$B40,FALSE)+(1-$B40/Q$1)*_xlfn.POISSON.DIST(Q$1-1,$B40,TRUE))*EXP(-(Q$1-$B40)*'Staffing Calculator'!$B$5/'Staffing Calculator'!$B$6))</f>
        <v/>
      </c>
      <c r="R40" s="56">
        <f>IF(R$1&lt;=$B40,0,1-_xlfn.POISSON.DIST(R$1,$B40,FALSE)/(_xlfn.POISSON.DIST(R$1,$B40,FALSE)+(1-$B40/R$1)*_xlfn.POISSON.DIST(R$1-1,$B40,TRUE))*EXP(-(R$1-$B40)*'Staffing Calculator'!$B$5/'Staffing Calculator'!$B$6))</f>
        <v/>
      </c>
      <c r="S40" s="56">
        <f>IF(S$1&lt;=$B40,0,1-_xlfn.POISSON.DIST(S$1,$B40,FALSE)/(_xlfn.POISSON.DIST(S$1,$B40,FALSE)+(1-$B40/S$1)*_xlfn.POISSON.DIST(S$1-1,$B40,TRUE))*EXP(-(S$1-$B40)*'Staffing Calculator'!$B$5/'Staffing Calculator'!$B$6))</f>
        <v/>
      </c>
      <c r="T40" s="56">
        <f>IF(T$1&lt;=$B40,0,1-_xlfn.POISSON.DIST(T$1,$B40,FALSE)/(_xlfn.POISSON.DIST(T$1,$B40,FALSE)+(1-$B40/T$1)*_xlfn.POISSON.DIST(T$1-1,$B40,TRUE))*EXP(-(T$1-$B40)*'Staffing Calculator'!$B$5/'Staffing Calculator'!$B$6))</f>
        <v/>
      </c>
      <c r="U40" s="56">
        <f>IF(U$1&lt;=$B40,0,1-_xlfn.POISSON.DIST(U$1,$B40,FALSE)/(_xlfn.POISSON.DIST(U$1,$B40,FALSE)+(1-$B40/U$1)*_xlfn.POISSON.DIST(U$1-1,$B40,TRUE))*EXP(-(U$1-$B40)*'Staffing Calculator'!$B$5/'Staffing Calculator'!$B$6))</f>
        <v/>
      </c>
      <c r="V40" s="56">
        <f>IF(V$1&lt;=$B40,0,1-_xlfn.POISSON.DIST(V$1,$B40,FALSE)/(_xlfn.POISSON.DIST(V$1,$B40,FALSE)+(1-$B40/V$1)*_xlfn.POISSON.DIST(V$1-1,$B40,TRUE))*EXP(-(V$1-$B40)*'Staffing Calculator'!$B$5/'Staffing Calculator'!$B$6))</f>
        <v/>
      </c>
      <c r="W40" s="56">
        <f>IF(W$1&lt;=$B40,0,1-_xlfn.POISSON.DIST(W$1,$B40,FALSE)/(_xlfn.POISSON.DIST(W$1,$B40,FALSE)+(1-$B40/W$1)*_xlfn.POISSON.DIST(W$1-1,$B40,TRUE))*EXP(-(W$1-$B40)*'Staffing Calculator'!$B$5/'Staffing Calculator'!$B$6))</f>
        <v/>
      </c>
      <c r="X40" s="56">
        <f>IF(X$1&lt;=$B40,0,1-_xlfn.POISSON.DIST(X$1,$B40,FALSE)/(_xlfn.POISSON.DIST(X$1,$B40,FALSE)+(1-$B40/X$1)*_xlfn.POISSON.DIST(X$1-1,$B40,TRUE))*EXP(-(X$1-$B40)*'Staffing Calculator'!$B$5/'Staffing Calculator'!$B$6))</f>
        <v/>
      </c>
      <c r="Y40" s="56">
        <f>IF(Y$1&lt;=$B40,0,1-_xlfn.POISSON.DIST(Y$1,$B40,FALSE)/(_xlfn.POISSON.DIST(Y$1,$B40,FALSE)+(1-$B40/Y$1)*_xlfn.POISSON.DIST(Y$1-1,$B40,TRUE))*EXP(-(Y$1-$B40)*'Staffing Calculator'!$B$5/'Staffing Calculator'!$B$6))</f>
        <v/>
      </c>
      <c r="Z40" s="56">
        <f>IF(Z$1&lt;=$B40,0,1-_xlfn.POISSON.DIST(Z$1,$B40,FALSE)/(_xlfn.POISSON.DIST(Z$1,$B40,FALSE)+(1-$B40/Z$1)*_xlfn.POISSON.DIST(Z$1-1,$B40,TRUE))*EXP(-(Z$1-$B40)*'Staffing Calculator'!$B$5/'Staffing Calculator'!$B$6))</f>
        <v/>
      </c>
      <c r="AA40" s="56">
        <f>IF(AA$1&lt;=$B40,0,1-_xlfn.POISSON.DIST(AA$1,$B40,FALSE)/(_xlfn.POISSON.DIST(AA$1,$B40,FALSE)+(1-$B40/AA$1)*_xlfn.POISSON.DIST(AA$1-1,$B40,TRUE))*EXP(-(AA$1-$B40)*'Staffing Calculator'!$B$5/'Staffing Calculator'!$B$6))</f>
        <v/>
      </c>
      <c r="AB40" s="56">
        <f>IF(AB$1&lt;=$B40,0,1-_xlfn.POISSON.DIST(AB$1,$B40,FALSE)/(_xlfn.POISSON.DIST(AB$1,$B40,FALSE)+(1-$B40/AB$1)*_xlfn.POISSON.DIST(AB$1-1,$B40,TRUE))*EXP(-(AB$1-$B40)*'Staffing Calculator'!$B$5/'Staffing Calculator'!$B$6))</f>
        <v/>
      </c>
      <c r="AC40" s="56">
        <f>IF(AC$1&lt;=$B40,0,1-_xlfn.POISSON.DIST(AC$1,$B40,FALSE)/(_xlfn.POISSON.DIST(AC$1,$B40,FALSE)+(1-$B40/AC$1)*_xlfn.POISSON.DIST(AC$1-1,$B40,TRUE))*EXP(-(AC$1-$B40)*'Staffing Calculator'!$B$5/'Staffing Calculator'!$B$6))</f>
        <v/>
      </c>
      <c r="AD40" s="56">
        <f>IF(AD$1&lt;=$B40,0,1-_xlfn.POISSON.DIST(AD$1,$B40,FALSE)/(_xlfn.POISSON.DIST(AD$1,$B40,FALSE)+(1-$B40/AD$1)*_xlfn.POISSON.DIST(AD$1-1,$B40,TRUE))*EXP(-(AD$1-$B40)*'Staffing Calculator'!$B$5/'Staffing Calculator'!$B$6))</f>
        <v/>
      </c>
      <c r="AE40" s="56">
        <f>IF(AE$1&lt;=$B40,0,1-_xlfn.POISSON.DIST(AE$1,$B40,FALSE)/(_xlfn.POISSON.DIST(AE$1,$B40,FALSE)+(1-$B40/AE$1)*_xlfn.POISSON.DIST(AE$1-1,$B40,TRUE))*EXP(-(AE$1-$B40)*'Staffing Calculator'!$B$5/'Staffing Calculator'!$B$6))</f>
        <v/>
      </c>
      <c r="AF40" s="56">
        <f>IF(AF$1&lt;=$B40,0,1-_xlfn.POISSON.DIST(AF$1,$B40,FALSE)/(_xlfn.POISSON.DIST(AF$1,$B40,FALSE)+(1-$B40/AF$1)*_xlfn.POISSON.DIST(AF$1-1,$B40,TRUE))*EXP(-(AF$1-$B40)*'Staffing Calculator'!$B$5/'Staffing Calculator'!$B$6))</f>
        <v/>
      </c>
      <c r="AG40" s="56">
        <f>IF(AG$1&lt;=$B40,0,1-_xlfn.POISSON.DIST(AG$1,$B40,FALSE)/(_xlfn.POISSON.DIST(AG$1,$B40,FALSE)+(1-$B40/AG$1)*_xlfn.POISSON.DIST(AG$1-1,$B40,TRUE))*EXP(-(AG$1-$B40)*'Staffing Calculator'!$B$5/'Staffing Calculator'!$B$6))</f>
        <v/>
      </c>
      <c r="AH40" s="56">
        <f>IF(AH$1&lt;=$B40,0,1-_xlfn.POISSON.DIST(AH$1,$B40,FALSE)/(_xlfn.POISSON.DIST(AH$1,$B40,FALSE)+(1-$B40/AH$1)*_xlfn.POISSON.DIST(AH$1-1,$B40,TRUE))*EXP(-(AH$1-$B40)*'Staffing Calculator'!$B$5/'Staffing Calculator'!$B$6))</f>
        <v/>
      </c>
      <c r="AI40" s="56">
        <f>IF(AI$1&lt;=$B40,0,1-_xlfn.POISSON.DIST(AI$1,$B40,FALSE)/(_xlfn.POISSON.DIST(AI$1,$B40,FALSE)+(1-$B40/AI$1)*_xlfn.POISSON.DIST(AI$1-1,$B40,TRUE))*EXP(-(AI$1-$B40)*'Staffing Calculator'!$B$5/'Staffing Calculator'!$B$6))</f>
        <v/>
      </c>
      <c r="AJ40" s="56">
        <f>IF(AJ$1&lt;=$B40,0,1-_xlfn.POISSON.DIST(AJ$1,$B40,FALSE)/(_xlfn.POISSON.DIST(AJ$1,$B40,FALSE)+(1-$B40/AJ$1)*_xlfn.POISSON.DIST(AJ$1-1,$B40,TRUE))*EXP(-(AJ$1-$B40)*'Staffing Calculator'!$B$5/'Staffing Calculator'!$B$6))</f>
        <v/>
      </c>
      <c r="AK40" s="56">
        <f>IF(AK$1&lt;=$B40,0,1-_xlfn.POISSON.DIST(AK$1,$B40,FALSE)/(_xlfn.POISSON.DIST(AK$1,$B40,FALSE)+(1-$B40/AK$1)*_xlfn.POISSON.DIST(AK$1-1,$B40,TRUE))*EXP(-(AK$1-$B40)*'Staffing Calculator'!$B$5/'Staffing Calculator'!$B$6))</f>
        <v/>
      </c>
      <c r="AL40" s="56">
        <f>IF(AL$1&lt;=$B40,0,1-_xlfn.POISSON.DIST(AL$1,$B40,FALSE)/(_xlfn.POISSON.DIST(AL$1,$B40,FALSE)+(1-$B40/AL$1)*_xlfn.POISSON.DIST(AL$1-1,$B40,TRUE))*EXP(-(AL$1-$B40)*'Staffing Calculator'!$B$5/'Staffing Calculator'!$B$6))</f>
        <v/>
      </c>
      <c r="AM40" s="56">
        <f>IF(AM$1&lt;=$B40,0,1-_xlfn.POISSON.DIST(AM$1,$B40,FALSE)/(_xlfn.POISSON.DIST(AM$1,$B40,FALSE)+(1-$B40/AM$1)*_xlfn.POISSON.DIST(AM$1-1,$B40,TRUE))*EXP(-(AM$1-$B40)*'Staffing Calculator'!$B$5/'Staffing Calculator'!$B$6))</f>
        <v/>
      </c>
      <c r="AN40" s="56">
        <f>IF(AN$1&lt;=$B40,0,1-_xlfn.POISSON.DIST(AN$1,$B40,FALSE)/(_xlfn.POISSON.DIST(AN$1,$B40,FALSE)+(1-$B40/AN$1)*_xlfn.POISSON.DIST(AN$1-1,$B40,TRUE))*EXP(-(AN$1-$B40)*'Staffing Calculator'!$B$5/'Staffing Calculator'!$B$6))</f>
        <v/>
      </c>
      <c r="AO40" s="56">
        <f>IF(AO$1&lt;=$B40,0,1-_xlfn.POISSON.DIST(AO$1,$B40,FALSE)/(_xlfn.POISSON.DIST(AO$1,$B40,FALSE)+(1-$B40/AO$1)*_xlfn.POISSON.DIST(AO$1-1,$B40,TRUE))*EXP(-(AO$1-$B40)*'Staffing Calculator'!$B$5/'Staffing Calculator'!$B$6))</f>
        <v/>
      </c>
      <c r="AP40" s="56">
        <f>IF(AP$1&lt;=$B40,0,1-_xlfn.POISSON.DIST(AP$1,$B40,FALSE)/(_xlfn.POISSON.DIST(AP$1,$B40,FALSE)+(1-$B40/AP$1)*_xlfn.POISSON.DIST(AP$1-1,$B40,TRUE))*EXP(-(AP$1-$B40)*'Staffing Calculator'!$B$5/'Staffing Calculator'!$B$6))</f>
        <v/>
      </c>
      <c r="AQ40" s="56">
        <f>IF(AQ$1&lt;=$B40,0,1-_xlfn.POISSON.DIST(AQ$1,$B40,FALSE)/(_xlfn.POISSON.DIST(AQ$1,$B40,FALSE)+(1-$B40/AQ$1)*_xlfn.POISSON.DIST(AQ$1-1,$B40,TRUE))*EXP(-(AQ$1-$B40)*'Staffing Calculator'!$B$5/'Staffing Calculator'!$B$6))</f>
        <v/>
      </c>
      <c r="AR40" s="56">
        <f>IF(AR$1&lt;=$B40,0,1-_xlfn.POISSON.DIST(AR$1,$B40,FALSE)/(_xlfn.POISSON.DIST(AR$1,$B40,FALSE)+(1-$B40/AR$1)*_xlfn.POISSON.DIST(AR$1-1,$B40,TRUE))*EXP(-(AR$1-$B40)*'Staffing Calculator'!$B$5/'Staffing Calculator'!$B$6))</f>
        <v/>
      </c>
      <c r="AS40" s="56">
        <f>IF(AS$1&lt;=$B40,0,1-_xlfn.POISSON.DIST(AS$1,$B40,FALSE)/(_xlfn.POISSON.DIST(AS$1,$B40,FALSE)+(1-$B40/AS$1)*_xlfn.POISSON.DIST(AS$1-1,$B40,TRUE))*EXP(-(AS$1-$B40)*'Staffing Calculator'!$B$5/'Staffing Calculator'!$B$6))</f>
        <v/>
      </c>
      <c r="AT40" s="56">
        <f>IF(AT$1&lt;=$B40,0,1-_xlfn.POISSON.DIST(AT$1,$B40,FALSE)/(_xlfn.POISSON.DIST(AT$1,$B40,FALSE)+(1-$B40/AT$1)*_xlfn.POISSON.DIST(AT$1-1,$B40,TRUE))*EXP(-(AT$1-$B40)*'Staffing Calculator'!$B$5/'Staffing Calculator'!$B$6))</f>
        <v/>
      </c>
      <c r="AU40" s="56">
        <f>IF(AU$1&lt;=$B40,0,1-_xlfn.POISSON.DIST(AU$1,$B40,FALSE)/(_xlfn.POISSON.DIST(AU$1,$B40,FALSE)+(1-$B40/AU$1)*_xlfn.POISSON.DIST(AU$1-1,$B40,TRUE))*EXP(-(AU$1-$B40)*'Staffing Calculator'!$B$5/'Staffing Calculator'!$B$6))</f>
        <v/>
      </c>
      <c r="AV40" s="56">
        <f>IF(AV$1&lt;=$B40,0,1-_xlfn.POISSON.DIST(AV$1,$B40,FALSE)/(_xlfn.POISSON.DIST(AV$1,$B40,FALSE)+(1-$B40/AV$1)*_xlfn.POISSON.DIST(AV$1-1,$B40,TRUE))*EXP(-(AV$1-$B40)*'Staffing Calculator'!$B$5/'Staffing Calculator'!$B$6))</f>
        <v/>
      </c>
      <c r="AW40" s="56">
        <f>IF(AW$1&lt;=$B40,0,1-_xlfn.POISSON.DIST(AW$1,$B40,FALSE)/(_xlfn.POISSON.DIST(AW$1,$B40,FALSE)+(1-$B40/AW$1)*_xlfn.POISSON.DIST(AW$1-1,$B40,TRUE))*EXP(-(AW$1-$B40)*'Staffing Calculator'!$B$5/'Staffing Calculator'!$B$6))</f>
        <v/>
      </c>
      <c r="AX40" s="56">
        <f>IF(AX$1&lt;=$B40,0,1-_xlfn.POISSON.DIST(AX$1,$B40,FALSE)/(_xlfn.POISSON.DIST(AX$1,$B40,FALSE)+(1-$B40/AX$1)*_xlfn.POISSON.DIST(AX$1-1,$B40,TRUE))*EXP(-(AX$1-$B40)*'Staffing Calculator'!$B$5/'Staffing Calculator'!$B$6))</f>
        <v/>
      </c>
      <c r="AY40" s="56">
        <f>IF(AY$1&lt;=$B40,0,1-_xlfn.POISSON.DIST(AY$1,$B40,FALSE)/(_xlfn.POISSON.DIST(AY$1,$B40,FALSE)+(1-$B40/AY$1)*_xlfn.POISSON.DIST(AY$1-1,$B40,TRUE))*EXP(-(AY$1-$B40)*'Staffing Calculator'!$B$5/'Staffing Calculator'!$B$6))</f>
        <v/>
      </c>
      <c r="AZ40" s="56">
        <f>IF(AZ$1&lt;=$B40,0,1-_xlfn.POISSON.DIST(AZ$1,$B40,FALSE)/(_xlfn.POISSON.DIST(AZ$1,$B40,FALSE)+(1-$B40/AZ$1)*_xlfn.POISSON.DIST(AZ$1-1,$B40,TRUE))*EXP(-(AZ$1-$B40)*'Staffing Calculator'!$B$5/'Staffing Calculator'!$B$6))</f>
        <v/>
      </c>
      <c r="BA40" s="56">
        <f>IF(BA$1&lt;=$B40,0,1-_xlfn.POISSON.DIST(BA$1,$B40,FALSE)/(_xlfn.POISSON.DIST(BA$1,$B40,FALSE)+(1-$B40/BA$1)*_xlfn.POISSON.DIST(BA$1-1,$B40,TRUE))*EXP(-(BA$1-$B40)*'Staffing Calculator'!$B$5/'Staffing Calculator'!$B$6))</f>
        <v/>
      </c>
      <c r="BB40" s="56">
        <f>IF(BB$1&lt;=$B40,0,1-_xlfn.POISSON.DIST(BB$1,$B40,FALSE)/(_xlfn.POISSON.DIST(BB$1,$B40,FALSE)+(1-$B40/BB$1)*_xlfn.POISSON.DIST(BB$1-1,$B40,TRUE))*EXP(-(BB$1-$B40)*'Staffing Calculator'!$B$5/'Staffing Calculator'!$B$6))</f>
        <v/>
      </c>
      <c r="BC40" s="56">
        <f>IF(BC$1&lt;=$B40,0,1-_xlfn.POISSON.DIST(BC$1,$B40,FALSE)/(_xlfn.POISSON.DIST(BC$1,$B40,FALSE)+(1-$B40/BC$1)*_xlfn.POISSON.DIST(BC$1-1,$B40,TRUE))*EXP(-(BC$1-$B40)*'Staffing Calculator'!$B$5/'Staffing Calculator'!$B$6))</f>
        <v/>
      </c>
      <c r="BD40" s="56">
        <f>IF(BD$1&lt;=$B40,0,1-_xlfn.POISSON.DIST(BD$1,$B40,FALSE)/(_xlfn.POISSON.DIST(BD$1,$B40,FALSE)+(1-$B40/BD$1)*_xlfn.POISSON.DIST(BD$1-1,$B40,TRUE))*EXP(-(BD$1-$B40)*'Staffing Calculator'!$B$5/'Staffing Calculator'!$B$6))</f>
        <v/>
      </c>
      <c r="BE40" s="56">
        <f>IF(BE$1&lt;=$B40,0,1-_xlfn.POISSON.DIST(BE$1,$B40,FALSE)/(_xlfn.POISSON.DIST(BE$1,$B40,FALSE)+(1-$B40/BE$1)*_xlfn.POISSON.DIST(BE$1-1,$B40,TRUE))*EXP(-(BE$1-$B40)*'Staffing Calculator'!$B$5/'Staffing Calculator'!$B$6))</f>
        <v/>
      </c>
      <c r="BF40" s="56">
        <f>IF(BF$1&lt;=$B40,0,1-_xlfn.POISSON.DIST(BF$1,$B40,FALSE)/(_xlfn.POISSON.DIST(BF$1,$B40,FALSE)+(1-$B40/BF$1)*_xlfn.POISSON.DIST(BF$1-1,$B40,TRUE))*EXP(-(BF$1-$B40)*'Staffing Calculator'!$B$5/'Staffing Calculator'!$B$6))</f>
        <v/>
      </c>
      <c r="BG40" s="56">
        <f>IF(BG$1&lt;=$B40,0,1-_xlfn.POISSON.DIST(BG$1,$B40,FALSE)/(_xlfn.POISSON.DIST(BG$1,$B40,FALSE)+(1-$B40/BG$1)*_xlfn.POISSON.DIST(BG$1-1,$B40,TRUE))*EXP(-(BG$1-$B40)*'Staffing Calculator'!$B$5/'Staffing Calculator'!$B$6))</f>
        <v/>
      </c>
      <c r="BH40" s="56">
        <f>IF(BH$1&lt;=$B40,0,1-_xlfn.POISSON.DIST(BH$1,$B40,FALSE)/(_xlfn.POISSON.DIST(BH$1,$B40,FALSE)+(1-$B40/BH$1)*_xlfn.POISSON.DIST(BH$1-1,$B40,TRUE))*EXP(-(BH$1-$B40)*'Staffing Calculator'!$B$5/'Staffing Calculator'!$B$6))</f>
        <v/>
      </c>
      <c r="BI40" s="56">
        <f>IF(BI$1&lt;=$B40,0,1-_xlfn.POISSON.DIST(BI$1,$B40,FALSE)/(_xlfn.POISSON.DIST(BI$1,$B40,FALSE)+(1-$B40/BI$1)*_xlfn.POISSON.DIST(BI$1-1,$B40,TRUE))*EXP(-(BI$1-$B40)*'Staffing Calculator'!$B$5/'Staffing Calculator'!$B$6))</f>
        <v/>
      </c>
      <c r="BJ40" s="56">
        <f>IF(BJ$1&lt;=$B40,0,1-_xlfn.POISSON.DIST(BJ$1,$B40,FALSE)/(_xlfn.POISSON.DIST(BJ$1,$B40,FALSE)+(1-$B40/BJ$1)*_xlfn.POISSON.DIST(BJ$1-1,$B40,TRUE))*EXP(-(BJ$1-$B40)*'Staffing Calculator'!$B$5/'Staffing Calculator'!$B$6))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2026-09-30T07:01:16Z</dcterms:created>
  <dcterms:modified xmlns:dcterms="http://purl.org/dc/terms/" xmlns:xsi="http://www.w3.org/2001/XMLSchema-instance" xsi:type="dcterms:W3CDTF">2026-09-30T07:01:16Z</dcterms:modified>
</cp:coreProperties>
</file>